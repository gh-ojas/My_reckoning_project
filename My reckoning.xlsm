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D:\Work\Excel\"/>
    </mc:Choice>
  </mc:AlternateContent>
  <xr:revisionPtr revIDLastSave="0" documentId="13_ncr:1_{62A6E6C8-84F9-4BFF-927B-B385344187C9}" xr6:coauthVersionLast="47" xr6:coauthVersionMax="47" xr10:uidLastSave="{00000000-0000-0000-0000-000000000000}"/>
  <bookViews>
    <workbookView xWindow="-108" yWindow="-108" windowWidth="23256" windowHeight="13896" activeTab="3" xr2:uid="{00000000-000D-0000-FFFF-FFFF00000000}"/>
  </bookViews>
  <sheets>
    <sheet name="Dashboard" sheetId="1" r:id="rId1"/>
    <sheet name="Report" sheetId="2" r:id="rId2"/>
    <sheet name="Pivots" sheetId="7" r:id="rId3"/>
    <sheet name="Sheet1" sheetId="8" r:id="rId4"/>
  </sheets>
  <definedNames>
    <definedName name="_xlnm._FilterDatabase" localSheetId="1" hidden="1">Report!$J$1:$J$99</definedName>
    <definedName name="_xlchart.v1.0" hidden="1">Pivots!$AA$10:$AB$10</definedName>
    <definedName name="_xlchart.v1.1" hidden="1">Pivots!$AA$9:$AB$9</definedName>
    <definedName name="Slicer_Category">#N/A</definedName>
    <definedName name="Slicer_Month">#N/A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42" i="1" l="1"/>
  <c r="W48" i="1"/>
  <c r="W47" i="1"/>
  <c r="W46" i="1"/>
  <c r="W45" i="1"/>
  <c r="W56" i="1"/>
  <c r="W63" i="1"/>
  <c r="W62" i="1"/>
  <c r="W61" i="1"/>
  <c r="W60" i="1"/>
  <c r="W59" i="1"/>
  <c r="W58" i="1"/>
  <c r="W57" i="1"/>
  <c r="W44" i="1"/>
  <c r="W43" i="1"/>
  <c r="W55" i="1"/>
  <c r="W54" i="1"/>
  <c r="W53" i="1"/>
  <c r="W52" i="1"/>
  <c r="W51" i="1"/>
  <c r="W50" i="1"/>
  <c r="W49" i="1"/>
  <c r="T42" i="1" a="1"/>
  <c r="T42" i="1" s="1"/>
  <c r="Y35" i="1"/>
  <c r="T35" i="1"/>
  <c r="M24" i="1" a="1"/>
  <c r="M24" i="1" s="1"/>
  <c r="C11" i="1"/>
  <c r="Y36" i="1" s="1"/>
  <c r="AA10" i="7" s="1"/>
  <c r="R24" i="1" a="1"/>
  <c r="R24" i="1" s="1"/>
  <c r="N24" i="1" a="1"/>
  <c r="N24" i="1" s="1"/>
  <c r="T24" i="1" a="1"/>
  <c r="T24" i="1" s="1"/>
  <c r="S26" i="7" s="1" a="1"/>
  <c r="S26" i="7" s="1"/>
  <c r="T22" i="1"/>
  <c r="P22" i="1" s="1"/>
  <c r="T36" i="1" s="1"/>
  <c r="Y37" i="1" l="1"/>
  <c r="AB10" i="7" s="1"/>
  <c r="AA2" i="7" a="1"/>
  <c r="AA2"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<sst xmlns="http://schemas.openxmlformats.org/spreadsheetml/2006/main" count="2117" uniqueCount="152">
  <si>
    <t>Date</t>
  </si>
  <si>
    <t>Category</t>
  </si>
  <si>
    <t>Amount</t>
  </si>
  <si>
    <t>Note</t>
  </si>
  <si>
    <t>Food</t>
  </si>
  <si>
    <t>Expense</t>
  </si>
  <si>
    <t>UPI Lite</t>
  </si>
  <si>
    <t>Transfer</t>
  </si>
  <si>
    <t>HDFC</t>
  </si>
  <si>
    <t>Personal Care</t>
  </si>
  <si>
    <t>Cashbacks</t>
  </si>
  <si>
    <t>Income</t>
  </si>
  <si>
    <t>SBI</t>
  </si>
  <si>
    <t>Travelling</t>
  </si>
  <si>
    <t>Rent</t>
  </si>
  <si>
    <t>Bills and Utilities</t>
  </si>
  <si>
    <t>Entertainment</t>
  </si>
  <si>
    <t>Thursday</t>
  </si>
  <si>
    <t>Wednesday</t>
  </si>
  <si>
    <t>Tuesday</t>
  </si>
  <si>
    <t>Monday</t>
  </si>
  <si>
    <t>Sunday</t>
  </si>
  <si>
    <t>Saturday</t>
  </si>
  <si>
    <t>Friday</t>
  </si>
  <si>
    <t>March</t>
  </si>
  <si>
    <t>Month</t>
  </si>
  <si>
    <t>Day</t>
  </si>
  <si>
    <t>Type</t>
  </si>
  <si>
    <t>Bank</t>
  </si>
  <si>
    <t>Cash</t>
  </si>
  <si>
    <t>Salary</t>
  </si>
  <si>
    <t>None</t>
  </si>
  <si>
    <t>Others</t>
  </si>
  <si>
    <t xml:space="preserve">Utilities </t>
  </si>
  <si>
    <t>Recharge</t>
  </si>
  <si>
    <t>Gifts and Donation</t>
  </si>
  <si>
    <t>Balance</t>
  </si>
  <si>
    <t>December</t>
  </si>
  <si>
    <t>January</t>
  </si>
  <si>
    <t>February</t>
  </si>
  <si>
    <t>Row Labels</t>
  </si>
  <si>
    <t>Sum of Amount</t>
  </si>
  <si>
    <t>Column Labels</t>
  </si>
  <si>
    <t>(All)</t>
  </si>
  <si>
    <t>Expenses Manager</t>
  </si>
  <si>
    <t>Easy</t>
  </si>
  <si>
    <t>Lost</t>
  </si>
  <si>
    <t>Bike work</t>
  </si>
  <si>
    <t>Socks</t>
  </si>
  <si>
    <t>Beard</t>
  </si>
  <si>
    <t>Hide and seek cashback</t>
  </si>
  <si>
    <t>Shoe Laces</t>
  </si>
  <si>
    <t>Peanut butter chocolate pintola</t>
  </si>
  <si>
    <t>Grand Total</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</si>
  <si>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</si>
  <si>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</si>
  <si>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</si>
  <si>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</si>
  <si>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</si>
  <si>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</si>
  <si>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</si>
  <si>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</si>
  <si>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</si>
  <si>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</si>
  <si>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</si>
  <si>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</si>
  <si>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</si>
  <si>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</si>
  <si>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</si>
  <si>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</si>
  <si>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</si>
  <si>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</si>
  <si>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</si>
  <si>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</si>
  <si>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26-Dec</t>
  </si>
  <si>
    <t>25-Jan</t>
  </si>
  <si>
    <t>27-Dec</t>
  </si>
  <si>
    <t>28-Dec</t>
  </si>
  <si>
    <t>27-Jan</t>
  </si>
  <si>
    <t>29-Dec</t>
  </si>
  <si>
    <t>28-Jan</t>
  </si>
  <si>
    <t>30-Dec</t>
  </si>
  <si>
    <t>29-Jan</t>
  </si>
  <si>
    <t>31-Dec</t>
  </si>
  <si>
    <t>30-Jan</t>
  </si>
  <si>
    <t>31-Jan</t>
  </si>
  <si>
    <t>01-Feb</t>
  </si>
  <si>
    <t>02-Feb</t>
  </si>
  <si>
    <t>04-Feb</t>
  </si>
  <si>
    <t>05-Feb</t>
  </si>
  <si>
    <t>06-Feb</t>
  </si>
  <si>
    <t>07-Feb</t>
  </si>
  <si>
    <t>08-Feb</t>
  </si>
  <si>
    <t>09-Feb</t>
  </si>
  <si>
    <t>10-Feb</t>
  </si>
  <si>
    <t>11-Feb</t>
  </si>
  <si>
    <t>13-Feb</t>
  </si>
  <si>
    <t>14-Feb</t>
  </si>
  <si>
    <t>15-Feb</t>
  </si>
  <si>
    <t>16-Feb</t>
  </si>
  <si>
    <t>17-Feb</t>
  </si>
  <si>
    <t>18-Feb</t>
  </si>
  <si>
    <t>19-Feb</t>
  </si>
  <si>
    <t>20-Feb</t>
  </si>
  <si>
    <t>21-Feb</t>
  </si>
  <si>
    <t>22-Feb</t>
  </si>
  <si>
    <t>23-Feb</t>
  </si>
  <si>
    <t>24-Feb</t>
  </si>
  <si>
    <t>25-Feb</t>
  </si>
  <si>
    <t>26-Feb</t>
  </si>
  <si>
    <t>27-Feb</t>
  </si>
  <si>
    <t>28-Feb</t>
  </si>
  <si>
    <t>29-Feb</t>
  </si>
  <si>
    <t>01-Mar</t>
  </si>
  <si>
    <t>02-Mar</t>
  </si>
  <si>
    <t>03-Mar</t>
  </si>
  <si>
    <t>04-Mar</t>
  </si>
  <si>
    <t>05-Mar</t>
  </si>
  <si>
    <t>06-Mar</t>
  </si>
  <si>
    <t>07-Mar</t>
  </si>
  <si>
    <t>08-Mar</t>
  </si>
  <si>
    <t>09-Mar</t>
  </si>
  <si>
    <t>10-Mar</t>
  </si>
  <si>
    <t>11-Mar</t>
  </si>
  <si>
    <t>12-Mar</t>
  </si>
  <si>
    <t>13-Mar</t>
  </si>
  <si>
    <t>14-Mar</t>
  </si>
  <si>
    <t>24-Dec</t>
  </si>
  <si>
    <t>25-Dec</t>
  </si>
  <si>
    <t>Mon</t>
  </si>
  <si>
    <t>Tue</t>
  </si>
  <si>
    <t>Wed</t>
  </si>
  <si>
    <t>Thu</t>
  </si>
  <si>
    <t>Fri</t>
  </si>
  <si>
    <t>Sat</t>
  </si>
  <si>
    <t>Sun</t>
  </si>
  <si>
    <t>15-Mar</t>
  </si>
  <si>
    <t>16-Mar</t>
  </si>
  <si>
    <t>17-Mar</t>
  </si>
  <si>
    <t>18-Mar</t>
  </si>
  <si>
    <t>19-Mar</t>
  </si>
  <si>
    <t>20-Mar</t>
  </si>
  <si>
    <t>21-Mar</t>
  </si>
  <si>
    <t>Green</t>
  </si>
  <si>
    <t>Yellow</t>
  </si>
  <si>
    <t>Orange</t>
  </si>
  <si>
    <t>Enter date to get data &gt;</t>
  </si>
  <si>
    <t/>
  </si>
  <si>
    <t>Saving</t>
  </si>
  <si>
    <t>Remaining Balance</t>
  </si>
  <si>
    <t>Average of Amount</t>
  </si>
  <si>
    <t>Category AVG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</si>
</sst>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quot;₹&quot;\ * #,##0_ ;_ &quot;₹&quot;\ * \-#,##0_ ;_ &quot;₹&quot;\ * &quot;-&quot;_ ;_ @_ "/>
    <numFmt numFmtId="164" formatCode="dd"/>
    <numFmt numFmtId="165" formatCode="dddd"/>
    <numFmt numFmtId="166" formatCode="dd\ mmm"/>
    <numFmt numFmtId="167" formatCode="_ [$₹-439]* #,##0_ ;_ [$₹-439]* \-#,##0_ ;_ [$₹-439]* &quot;-&quot;_ ;_ @_ "/>
    <numFmt numFmtId="168" formatCode="_ [$₹-4009]\ * #,##0_ ;_ [$₹-4009]\ * \-#,##0_ ;_ [$₹-4009]\ * &quot;-&quot;_ ;_ @_ "/>
  </numFmts>
  <fonts count="7" x14ac:knownFonts="1">
    <font>
      <sz val="11"/>
      <color theme="1"/>
      <name val="Calibri"/>
      <family val="2"/>
      <scheme val="minor"/>
    </font>
    <font>
      <b/>
      <sz val="11"/>
      <color theme="0"/>
      <name val="Calibri"/>
      <family val="2"/>
      <scheme val="minor"/>
    </font>
    <font>
      <sz val="11"/>
      <color theme="0"/>
      <name val="Calibri"/>
      <family val="2"/>
      <scheme val="minor"/>
    </font>
    <font>
      <sz val="8"/>
      <name val="Calibri"/>
      <family val="2"/>
      <scheme val="minor"/>
    </font>
    <font>
      <sz val="11"/>
      <color theme="9" tint="-0.249977111117893"/>
      <name val="Calibri"/>
      <family val="2"/>
      <scheme val="minor"/>
    </font>
    <font>
      <sz val="11"/>
      <color theme="7" tint="-0.249977111117893"/>
      <name val="Calibri"/>
      <family val="2"/>
      <scheme val="minor"/>
    </font>
    <font>
      <sz val="11"/>
      <color theme="5" tint="-0.249977111117893"/>
      <name val="Calibri"/>
      <family val="2"/>
      <scheme val="minor"/>
    </font>
  </fonts>
  <fills count="10">
    <fill>
      <patternFill patternType="none"/>
    </fill>
    <fill>
      <patternFill patternType="gray125"/>
    </fill>
    <fill>
      <patternFill patternType="solid">
        <fgColor theme="9"/>
        <bgColor indexed="64"/>
      </patternFill>
    </fill>
    <fill>
      <patternFill patternType="solid">
        <fgColor theme="4" tint="-0.249977111117893"/>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0" tint="-0.499984740745262"/>
        <bgColor indexed="64"/>
      </patternFill>
    </fill>
    <fill>
      <patternFill patternType="solid">
        <fgColor theme="4"/>
        <bgColor indexed="64"/>
      </patternFill>
    </fill>
    <fill>
      <patternFill patternType="solid">
        <fgColor theme="4" tint="0.39997558519241921"/>
        <bgColor indexed="64"/>
      </patternFill>
    </fill>
  </fills>
  <borders count="1">
    <border>
      <left/>
      <right/>
      <top/>
      <bottom/>
      <diagonal/>
    </border>
  </borders>
  <cellStyleXfs count="1">
    <xf numFmtId="0" fontId="0" fillId="0" borderId="0"/>
  </cellStyleXfs>
  <cellXfs count="32">
    <xf numFmtId="0" fontId="0" fillId="0" borderId="0" xfId="0"/>
    <xf numFmtId="0" fontId="0" fillId="0" borderId="0" xfId="0" pivotButton="1"/>
    <xf numFmtId="0" fontId="0" fillId="0" borderId="0" xfId="0" applyAlignment="1">
      <alignment horizontal="left"/>
    </xf>
    <xf numFmtId="14" fontId="0" fillId="0" borderId="0" xfId="0" applyNumberFormat="1"/>
    <xf numFmtId="164" fontId="0" fillId="0" borderId="0" xfId="0" applyNumberFormat="1"/>
    <xf numFmtId="0" fontId="1" fillId="2" borderId="0" xfId="0" applyFont="1" applyFill="1" applyAlignment="1">
      <alignment horizontal="center"/>
    </xf>
    <xf numFmtId="42" fontId="1" fillId="2" borderId="0" xfId="0" applyNumberFormat="1" applyFont="1" applyFill="1" applyAlignment="1">
      <alignment horizontal="center"/>
    </xf>
    <xf numFmtId="42" fontId="0" fillId="0" borderId="0" xfId="0" applyNumberFormat="1"/>
    <xf numFmtId="164" fontId="0" fillId="0" borderId="0" xfId="0" applyNumberFormat="1" applyAlignment="1">
      <alignment horizontal="left"/>
    </xf>
    <xf numFmtId="165" fontId="0" fillId="0" borderId="0" xfId="0" applyNumberFormat="1"/>
    <xf numFmtId="164" fontId="1" fillId="2" borderId="0" xfId="0" applyNumberFormat="1" applyFont="1" applyFill="1" applyAlignment="1">
      <alignment horizontal="center"/>
    </xf>
    <xf numFmtId="167" fontId="0" fillId="0" borderId="0" xfId="0" applyNumberFormat="1" applyAlignment="1">
      <alignment horizontal="center"/>
    </xf>
    <xf numFmtId="0" fontId="4" fillId="6" borderId="0" xfId="0" applyFont="1" applyFill="1"/>
    <xf numFmtId="0" fontId="5" fillId="4" borderId="0" xfId="0" applyFont="1" applyFill="1"/>
    <xf numFmtId="0" fontId="6" fillId="5" borderId="0" xfId="0" applyFont="1" applyFill="1"/>
    <xf numFmtId="0" fontId="2" fillId="3" borderId="0" xfId="0" applyFont="1" applyFill="1" applyAlignment="1">
      <alignment horizontal="center" vertical="center"/>
    </xf>
    <xf numFmtId="164" fontId="0" fillId="0" borderId="0" xfId="0" applyNumberFormat="1" applyAlignment="1">
      <alignment horizontal="center" vertical="center"/>
    </xf>
    <xf numFmtId="166" fontId="0" fillId="0" borderId="0" xfId="0" applyNumberFormat="1" applyAlignment="1">
      <alignment horizontal="center"/>
    </xf>
    <xf numFmtId="0" fontId="1" fillId="3" borderId="0" xfId="0" applyFont="1" applyFill="1" applyAlignment="1">
      <alignment vertical="center"/>
    </xf>
    <xf numFmtId="0" fontId="1" fillId="7" borderId="0" xfId="0" applyFont="1" applyFill="1" applyAlignment="1">
      <alignment vertical="center"/>
    </xf>
    <xf numFmtId="0" fontId="1" fillId="7" borderId="0" xfId="0" applyFont="1" applyFill="1" applyAlignment="1">
      <alignment horizontal="left" vertical="center"/>
    </xf>
    <xf numFmtId="0" fontId="1" fillId="8" borderId="0" xfId="0" applyFont="1" applyFill="1"/>
    <xf numFmtId="0" fontId="2" fillId="0" borderId="0" xfId="0" applyFont="1"/>
    <xf numFmtId="42" fontId="0" fillId="0" borderId="0" xfId="0" applyNumberFormat="1" applyAlignment="1">
      <alignment horizontal="center"/>
    </xf>
    <xf numFmtId="0" fontId="0" fillId="0" borderId="0" xfId="0" applyAlignment="1">
      <alignment horizontal="center"/>
    </xf>
    <xf numFmtId="0" fontId="1" fillId="8" borderId="0" xfId="0" applyFont="1" applyFill="1" applyAlignment="1">
      <alignment horizontal="center"/>
    </xf>
    <xf numFmtId="0" fontId="1" fillId="3" borderId="0" xfId="0" applyFont="1" applyFill="1" applyAlignment="1">
      <alignment horizontal="center"/>
    </xf>
    <xf numFmtId="0" fontId="1" fillId="7" borderId="0" xfId="0" applyFont="1" applyFill="1" applyAlignment="1">
      <alignment horizontal="right" vertical="center"/>
    </xf>
    <xf numFmtId="42" fontId="1" fillId="9" borderId="0" xfId="0" applyNumberFormat="1" applyFont="1" applyFill="1" applyAlignment="1">
      <alignment horizontal="center"/>
    </xf>
    <xf numFmtId="0" fontId="1" fillId="8" borderId="0" xfId="0" applyFont="1" applyFill="1" applyAlignment="1">
      <alignment horizontal="center" wrapText="1"/>
    </xf>
    <xf numFmtId="168" fontId="1" fillId="9" borderId="0" xfId="0" applyNumberFormat="1" applyFont="1" applyFill="1" applyAlignment="1">
      <alignment horizontal="center"/>
    </xf>
    <xf numFmtId="0" fontId="1" fillId="8" borderId="0" xfId="0" applyFont="1" applyFill="1" applyAlignment="1">
      <alignment horizontal="left"/>
    </xf>
  </cellXfs>
  <cellStyles count="1">
    <cellStyle name="Normal" xfId="0" builtinId="0"/>
  </cellStyles>
  <dxfs count="16">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006100"/>
      </font>
      <fill>
        <patternFill>
          <fgColor indexed="64"/>
          <bgColor rgb="FFC6EFCE"/>
        </patternFill>
      </fill>
    </dxf>
    <dxf>
      <font>
        <color rgb="FF9C0006"/>
      </font>
      <fill>
        <patternFill>
          <fgColor indexed="64"/>
          <bgColor rgb="FFFFC7CE"/>
        </patternFill>
      </fill>
    </dxf>
    <dxf>
      <font>
        <color theme="0" tint="-0.34998626667073579"/>
      </font>
    </dxf>
    <dxf>
      <font>
        <color rgb="FF9C0006"/>
      </font>
      <fill>
        <patternFill>
          <fgColor indexed="64"/>
          <bgColor rgb="FFFFC7CE"/>
        </patternFill>
      </fill>
    </dxf>
    <dxf>
      <font>
        <color rgb="FF006100"/>
      </font>
      <fill>
        <patternFill>
          <fgColor indexed="64"/>
          <bgColor rgb="FFC6EFCE"/>
        </patternFill>
      </fill>
    </dxf>
    <dxf>
      <font>
        <color rgb="FF9C5700"/>
      </font>
      <fill>
        <patternFill>
          <fgColor indexed="64"/>
          <bgColor rgb="FFFFEB9C"/>
        </patternFill>
      </fill>
    </dxf>
    <dxf>
      <font>
        <color rgb="FFFF2F2F"/>
      </font>
      <fill>
        <patternFill patternType="solid">
          <bgColor rgb="FFFFC9C9"/>
        </patternFill>
      </fill>
    </dxf>
    <dxf>
      <font>
        <color theme="5" tint="-0.24994659260841701"/>
      </font>
      <fill>
        <patternFill>
          <bgColor theme="5" tint="0.79998168889431442"/>
        </patternFill>
      </fill>
    </dxf>
    <dxf>
      <font>
        <color theme="7" tint="-0.24994659260841701"/>
      </font>
      <fill>
        <patternFill>
          <bgColor theme="7" tint="0.79998168889431442"/>
        </patternFill>
      </fill>
    </dxf>
    <dxf>
      <font>
        <color theme="9" tint="-0.24994659260841701"/>
      </font>
      <fill>
        <patternFill>
          <bgColor theme="9" tint="0.59996337778862885"/>
        </patternFill>
      </fill>
    </dxf>
    <dxf>
      <font>
        <color theme="0"/>
      </font>
      <fill>
        <patternFill>
          <bgColor theme="4"/>
        </patternFill>
      </fill>
    </dxf>
    <dxf>
      <font>
        <color theme="0" tint="-0.34998626667073579"/>
      </font>
      <fill>
        <patternFill>
          <bgColor theme="0" tint="-4.9989318521683403E-2"/>
        </patternFill>
      </fill>
    </dxf>
  </dxfs>
  <tableStyles count="0" defaultTableStyle="TableStyleMedium2" defaultPivotStyle="PivotStyleLight16"/>
  <colors>
    <mruColors>
      <color rgb="FFFFC9C9"/>
      <color rgb="FFFF2F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reckoning.xlsm]Pivots!RunnigTotalExpenses</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083301570774723E-2"/>
          <c:y val="0.15297188755020083"/>
          <c:w val="0.90427167678420362"/>
          <c:h val="0.69783132530120484"/>
        </c:manualLayout>
      </c:layout>
      <c:lineChart>
        <c:grouping val="standard"/>
        <c:varyColors val="0"/>
        <c:ser>
          <c:idx val="0"/>
          <c:order val="0"/>
          <c:tx>
            <c:strRef>
              <c:f>Pivots!$B$3:$B$4</c:f>
              <c:strCache>
                <c:ptCount val="1"/>
                <c:pt idx="0">
                  <c:v>Expense</c:v>
                </c:pt>
              </c:strCache>
            </c:strRef>
          </c:tx>
          <c:spPr>
            <a:ln w="28575" cap="rnd">
              <a:solidFill>
                <a:schemeClr val="accent1"/>
              </a:solidFill>
              <a:round/>
            </a:ln>
            <a:effectLst/>
          </c:spPr>
          <c:marker>
            <c:symbol val="none"/>
          </c:marker>
          <c:cat>
            <c:strRef>
              <c:f>Pivots!$A$5:$A$26</c:f>
              <c:strCache>
                <c:ptCount val="21"/>
                <c:pt idx="0">
                  <c:v>01-Mar</c:v>
                </c:pt>
                <c:pt idx="1">
                  <c:v>02-Mar</c:v>
                </c:pt>
                <c:pt idx="2">
                  <c:v>03-Mar</c:v>
                </c:pt>
                <c:pt idx="3">
                  <c:v>04-Mar</c:v>
                </c:pt>
                <c:pt idx="4">
                  <c:v>05-Mar</c:v>
                </c:pt>
                <c:pt idx="5">
                  <c:v>06-Mar</c:v>
                </c:pt>
                <c:pt idx="6">
                  <c:v>07-Mar</c:v>
                </c:pt>
                <c:pt idx="7">
                  <c:v>08-Mar</c:v>
                </c:pt>
                <c:pt idx="8">
                  <c:v>09-Mar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strCache>
            </c:strRef>
          </c:cat>
          <c:val>
            <c:numRef>
              <c:f>Pivots!$B$5:$B$26</c:f>
              <c:numCache>
                <c:formatCode>General</c:formatCode>
                <c:ptCount val="21"/>
                <c:pt idx="0">
                  <c:v>241</c:v>
                </c:pt>
                <c:pt idx="1">
                  <c:v>401</c:v>
                </c:pt>
                <c:pt idx="2">
                  <c:v>1972</c:v>
                </c:pt>
                <c:pt idx="3">
                  <c:v>2146</c:v>
                </c:pt>
                <c:pt idx="4">
                  <c:v>2706</c:v>
                </c:pt>
                <c:pt idx="5">
                  <c:v>2836</c:v>
                </c:pt>
                <c:pt idx="6">
                  <c:v>2926</c:v>
                </c:pt>
                <c:pt idx="7">
                  <c:v>3400</c:v>
                </c:pt>
                <c:pt idx="8">
                  <c:v>3570</c:v>
                </c:pt>
                <c:pt idx="9">
                  <c:v>3764</c:v>
                </c:pt>
                <c:pt idx="10">
                  <c:v>3927</c:v>
                </c:pt>
                <c:pt idx="11">
                  <c:v>5268</c:v>
                </c:pt>
                <c:pt idx="12">
                  <c:v>5452</c:v>
                </c:pt>
                <c:pt idx="13">
                  <c:v>5562</c:v>
                </c:pt>
                <c:pt idx="14">
                  <c:v>5782</c:v>
                </c:pt>
                <c:pt idx="15">
                  <c:v>5886</c:v>
                </c:pt>
                <c:pt idx="16">
                  <c:v>6176</c:v>
                </c:pt>
                <c:pt idx="17">
                  <c:v>6366</c:v>
                </c:pt>
                <c:pt idx="18">
                  <c:v>6586</c:v>
                </c:pt>
                <c:pt idx="19">
                  <c:v>6776</c:v>
                </c:pt>
                <c:pt idx="20">
                  <c:v>7300</c:v>
                </c:pt>
              </c:numCache>
            </c:numRef>
          </c:val>
          <c:smooth val="0"/>
          <c:extLst>
            <c:ext xmlns:c16="http://schemas.microsoft.com/office/drawing/2014/chart" uri="{C3380CC4-5D6E-409C-BE32-E72D297353CC}">
              <c16:uniqueId val="{00000002-4066-4E71-942C-EB35E6E2E7B9}"/>
            </c:ext>
          </c:extLst>
        </c:ser>
        <c:dLbls>
          <c:showLegendKey val="0"/>
          <c:showVal val="0"/>
          <c:showCatName val="0"/>
          <c:showSerName val="0"/>
          <c:showPercent val="0"/>
          <c:showBubbleSize val="0"/>
        </c:dLbls>
        <c:smooth val="0"/>
        <c:axId val="911756511"/>
        <c:axId val="1756193647"/>
      </c:lineChart>
      <c:catAx>
        <c:axId val="91175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6193647"/>
        <c:crosses val="autoZero"/>
        <c:auto val="1"/>
        <c:lblAlgn val="ctr"/>
        <c:lblOffset val="100"/>
        <c:noMultiLvlLbl val="0"/>
      </c:catAx>
      <c:valAx>
        <c:axId val="1756193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1756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reckoning.xlsm]Pivots!CatagoryWise</c:name>
    <c:fmtId val="18"/>
  </c:pivotSource>
  <c:chart>
    <c:autoTitleDeleted val="1"/>
    <c:pivotFmts>
      <c:pivotFmt>
        <c:idx val="0"/>
        <c:spPr>
          <a:ln>
            <a:noFill/>
          </a:ln>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threePt" dir="t"/>
          </a:scene3d>
        </c:spPr>
      </c:pivotFmt>
      <c:pivotFmt>
        <c:idx val="2"/>
        <c:spPr>
          <a:solidFill>
            <a:schemeClr val="accent2"/>
          </a:solidFill>
          <a:ln>
            <a:noFill/>
          </a:ln>
          <a:effectLst/>
          <a:scene3d>
            <a:camera prst="orthographicFront"/>
            <a:lightRig rig="threePt" dir="t"/>
          </a:scene3d>
        </c:spPr>
      </c:pivotFmt>
      <c:pivotFmt>
        <c:idx val="3"/>
        <c:spPr>
          <a:solidFill>
            <a:schemeClr val="accent3"/>
          </a:solidFill>
          <a:ln>
            <a:noFill/>
          </a:ln>
          <a:effectLst/>
          <a:scene3d>
            <a:camera prst="orthographicFront"/>
            <a:lightRig rig="threePt" dir="t"/>
          </a:scene3d>
        </c:spPr>
      </c:pivotFmt>
      <c:pivotFmt>
        <c:idx val="4"/>
        <c:spPr>
          <a:solidFill>
            <a:schemeClr val="accent4"/>
          </a:solidFill>
          <a:ln>
            <a:noFill/>
          </a:ln>
          <a:effectLst/>
          <a:scene3d>
            <a:camera prst="orthographicFront"/>
            <a:lightRig rig="threePt" dir="t"/>
          </a:scene3d>
        </c:spPr>
      </c:pivotFmt>
      <c:pivotFmt>
        <c:idx val="5"/>
        <c:spPr>
          <a:solidFill>
            <a:schemeClr val="accent5"/>
          </a:solidFill>
          <a:ln>
            <a:noFill/>
          </a:ln>
          <a:effectLst/>
          <a:scene3d>
            <a:camera prst="orthographicFront"/>
            <a:lightRig rig="threePt" dir="t"/>
          </a:scene3d>
        </c:spPr>
      </c:pivotFmt>
    </c:pivotFmts>
    <c:plotArea>
      <c:layout>
        <c:manualLayout>
          <c:layoutTarget val="inner"/>
          <c:xMode val="edge"/>
          <c:yMode val="edge"/>
          <c:x val="7.9169606487361127E-2"/>
          <c:y val="0.13754913700303592"/>
          <c:w val="0.58118935417163764"/>
          <c:h val="0.85241105278506857"/>
        </c:manualLayout>
      </c:layout>
      <c:doughnutChart>
        <c:varyColors val="1"/>
        <c:ser>
          <c:idx val="0"/>
          <c:order val="0"/>
          <c:tx>
            <c:strRef>
              <c:f>Pivots!$E$3:$E$4</c:f>
              <c:strCache>
                <c:ptCount val="1"/>
                <c:pt idx="0">
                  <c:v>Expense</c:v>
                </c:pt>
              </c:strCache>
            </c:strRef>
          </c:tx>
          <c:spPr>
            <a:ln>
              <a:noFill/>
            </a:ln>
            <a:scene3d>
              <a:camera prst="orthographicFront"/>
              <a:lightRig rig="threePt" dir="t"/>
            </a:scene3d>
          </c:spPr>
          <c:explosion val="1"/>
          <c:dPt>
            <c:idx val="0"/>
            <c:bubble3D val="0"/>
            <c:spPr>
              <a:solidFill>
                <a:schemeClr val="accent1"/>
              </a:solidFill>
              <a:ln>
                <a:noFill/>
              </a:ln>
              <a:effectLst/>
              <a:scene3d>
                <a:camera prst="orthographicFront"/>
                <a:lightRig rig="threePt" dir="t"/>
              </a:scene3d>
            </c:spPr>
            <c:extLst>
              <c:ext xmlns:c16="http://schemas.microsoft.com/office/drawing/2014/chart" uri="{C3380CC4-5D6E-409C-BE32-E72D297353CC}">
                <c16:uniqueId val="{00000001-A01A-4EA3-805A-7372221BCA5B}"/>
              </c:ext>
            </c:extLst>
          </c:dPt>
          <c:dPt>
            <c:idx val="1"/>
            <c:bubble3D val="0"/>
            <c:spPr>
              <a:solidFill>
                <a:schemeClr val="accent2"/>
              </a:solidFill>
              <a:ln>
                <a:noFill/>
              </a:ln>
              <a:effectLst/>
              <a:scene3d>
                <a:camera prst="orthographicFront"/>
                <a:lightRig rig="threePt" dir="t"/>
              </a:scene3d>
            </c:spPr>
            <c:extLst>
              <c:ext xmlns:c16="http://schemas.microsoft.com/office/drawing/2014/chart" uri="{C3380CC4-5D6E-409C-BE32-E72D297353CC}">
                <c16:uniqueId val="{00000003-A01A-4EA3-805A-7372221BCA5B}"/>
              </c:ext>
            </c:extLst>
          </c:dPt>
          <c:dPt>
            <c:idx val="2"/>
            <c:bubble3D val="0"/>
            <c:spPr>
              <a:solidFill>
                <a:schemeClr val="accent3"/>
              </a:solidFill>
              <a:ln>
                <a:noFill/>
              </a:ln>
              <a:effectLst/>
              <a:scene3d>
                <a:camera prst="orthographicFront"/>
                <a:lightRig rig="threePt" dir="t"/>
              </a:scene3d>
            </c:spPr>
            <c:extLst>
              <c:ext xmlns:c16="http://schemas.microsoft.com/office/drawing/2014/chart" uri="{C3380CC4-5D6E-409C-BE32-E72D297353CC}">
                <c16:uniqueId val="{00000005-A01A-4EA3-805A-7372221BCA5B}"/>
              </c:ext>
            </c:extLst>
          </c:dPt>
          <c:dPt>
            <c:idx val="3"/>
            <c:bubble3D val="0"/>
            <c:spPr>
              <a:solidFill>
                <a:schemeClr val="accent4"/>
              </a:solidFill>
              <a:ln>
                <a:noFill/>
              </a:ln>
              <a:effectLst/>
              <a:scene3d>
                <a:camera prst="orthographicFront"/>
                <a:lightRig rig="threePt" dir="t"/>
              </a:scene3d>
            </c:spPr>
            <c:extLst>
              <c:ext xmlns:c16="http://schemas.microsoft.com/office/drawing/2014/chart" uri="{C3380CC4-5D6E-409C-BE32-E72D297353CC}">
                <c16:uniqueId val="{00000007-A01A-4EA3-805A-7372221BCA5B}"/>
              </c:ext>
            </c:extLst>
          </c:dPt>
          <c:dPt>
            <c:idx val="4"/>
            <c:bubble3D val="0"/>
            <c:spPr>
              <a:solidFill>
                <a:schemeClr val="accent5"/>
              </a:solidFill>
              <a:ln>
                <a:noFill/>
              </a:ln>
              <a:effectLst/>
              <a:scene3d>
                <a:camera prst="orthographicFront"/>
                <a:lightRig rig="threePt" dir="t"/>
              </a:scene3d>
            </c:spPr>
            <c:extLst>
              <c:ext xmlns:c16="http://schemas.microsoft.com/office/drawing/2014/chart" uri="{C3380CC4-5D6E-409C-BE32-E72D297353CC}">
                <c16:uniqueId val="{00000009-A01A-4EA3-805A-7372221BCA5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Pivots!$D$5:$D$10</c:f>
              <c:strCache>
                <c:ptCount val="5"/>
                <c:pt idx="0">
                  <c:v>Entertainment</c:v>
                </c:pt>
                <c:pt idx="1">
                  <c:v>Food</c:v>
                </c:pt>
                <c:pt idx="2">
                  <c:v>Personal Care</c:v>
                </c:pt>
                <c:pt idx="3">
                  <c:v>Rent</c:v>
                </c:pt>
                <c:pt idx="4">
                  <c:v>Travelling</c:v>
                </c:pt>
              </c:strCache>
            </c:strRef>
          </c:cat>
          <c:val>
            <c:numRef>
              <c:f>Pivots!$E$5:$E$10</c:f>
              <c:numCache>
                <c:formatCode>General</c:formatCode>
                <c:ptCount val="5"/>
                <c:pt idx="0">
                  <c:v>210</c:v>
                </c:pt>
                <c:pt idx="1">
                  <c:v>4340</c:v>
                </c:pt>
                <c:pt idx="2">
                  <c:v>430</c:v>
                </c:pt>
                <c:pt idx="3">
                  <c:v>3500</c:v>
                </c:pt>
                <c:pt idx="4">
                  <c:v>1201</c:v>
                </c:pt>
              </c:numCache>
            </c:numRef>
          </c:val>
          <c:extLst>
            <c:ext xmlns:c16="http://schemas.microsoft.com/office/drawing/2014/chart" uri="{C3380CC4-5D6E-409C-BE32-E72D297353CC}">
              <c16:uniqueId val="{00000002-B74E-425E-8F75-0BDA88720A5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71292062954496283"/>
          <c:y val="7.2284008853731999E-2"/>
          <c:w val="0.28707937045503723"/>
          <c:h val="0.899938011780785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reckoning.xlsm]Pivots!DailyTotals</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Pivots!$H$3:$H$4</c:f>
              <c:strCache>
                <c:ptCount val="1"/>
                <c:pt idx="0">
                  <c:v>Expense</c:v>
                </c:pt>
              </c:strCache>
            </c:strRef>
          </c:tx>
          <c:spPr>
            <a:solidFill>
              <a:schemeClr val="accent1"/>
            </a:solidFill>
            <a:ln>
              <a:noFill/>
            </a:ln>
            <a:effectLst/>
          </c:spPr>
          <c:invertIfNegative val="0"/>
          <c:cat>
            <c:strRef>
              <c:f>Pivots!$G$5:$G$25</c:f>
              <c:strCache>
                <c:ptCount val="21"/>
                <c:pt idx="0">
                  <c:v>01-Mar</c:v>
                </c:pt>
                <c:pt idx="1">
                  <c:v>02-Mar</c:v>
                </c:pt>
                <c:pt idx="2">
                  <c:v>03-Mar</c:v>
                </c:pt>
                <c:pt idx="3">
                  <c:v>04-Mar</c:v>
                </c:pt>
                <c:pt idx="4">
                  <c:v>05-Mar</c:v>
                </c:pt>
                <c:pt idx="5">
                  <c:v>06-Mar</c:v>
                </c:pt>
                <c:pt idx="6">
                  <c:v>07-Mar</c:v>
                </c:pt>
                <c:pt idx="7">
                  <c:v>08-Mar</c:v>
                </c:pt>
                <c:pt idx="8">
                  <c:v>09-Mar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strCache>
            </c:strRef>
          </c:cat>
          <c:val>
            <c:numRef>
              <c:f>Pivots!$H$5:$H$25</c:f>
              <c:numCache>
                <c:formatCode>General</c:formatCode>
                <c:ptCount val="21"/>
                <c:pt idx="0">
                  <c:v>241</c:v>
                </c:pt>
                <c:pt idx="1">
                  <c:v>160</c:v>
                </c:pt>
                <c:pt idx="2">
                  <c:v>1571</c:v>
                </c:pt>
                <c:pt idx="3">
                  <c:v>174</c:v>
                </c:pt>
                <c:pt idx="4">
                  <c:v>560</c:v>
                </c:pt>
                <c:pt idx="5">
                  <c:v>130</c:v>
                </c:pt>
                <c:pt idx="6">
                  <c:v>90</c:v>
                </c:pt>
                <c:pt idx="7">
                  <c:v>474</c:v>
                </c:pt>
                <c:pt idx="8">
                  <c:v>170</c:v>
                </c:pt>
                <c:pt idx="9">
                  <c:v>194</c:v>
                </c:pt>
                <c:pt idx="10">
                  <c:v>163</c:v>
                </c:pt>
                <c:pt idx="11">
                  <c:v>1341</c:v>
                </c:pt>
                <c:pt idx="12">
                  <c:v>184</c:v>
                </c:pt>
                <c:pt idx="13">
                  <c:v>110</c:v>
                </c:pt>
                <c:pt idx="14">
                  <c:v>220</c:v>
                </c:pt>
                <c:pt idx="15">
                  <c:v>104</c:v>
                </c:pt>
                <c:pt idx="16">
                  <c:v>290</c:v>
                </c:pt>
                <c:pt idx="17">
                  <c:v>190</c:v>
                </c:pt>
                <c:pt idx="18">
                  <c:v>220</c:v>
                </c:pt>
                <c:pt idx="19">
                  <c:v>190</c:v>
                </c:pt>
                <c:pt idx="20">
                  <c:v>524</c:v>
                </c:pt>
              </c:numCache>
            </c:numRef>
          </c:val>
          <c:extLst>
            <c:ext xmlns:c16="http://schemas.microsoft.com/office/drawing/2014/chart" uri="{C3380CC4-5D6E-409C-BE32-E72D297353CC}">
              <c16:uniqueId val="{00000004-33A3-41D8-86F0-EB38CDF7BC49}"/>
            </c:ext>
          </c:extLst>
        </c:ser>
        <c:dLbls>
          <c:showLegendKey val="0"/>
          <c:showVal val="0"/>
          <c:showCatName val="0"/>
          <c:showSerName val="0"/>
          <c:showPercent val="0"/>
          <c:showBubbleSize val="0"/>
        </c:dLbls>
        <c:gapWidth val="219"/>
        <c:overlap val="-27"/>
        <c:axId val="625103952"/>
        <c:axId val="625103472"/>
      </c:barChart>
      <c:catAx>
        <c:axId val="62510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103472"/>
        <c:crosses val="autoZero"/>
        <c:auto val="1"/>
        <c:lblAlgn val="ctr"/>
        <c:lblOffset val="100"/>
        <c:noMultiLvlLbl val="0"/>
      </c:catAx>
      <c:valAx>
        <c:axId val="625103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51039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Report!$J$1</c:f>
              <c:strCache>
                <c:ptCount val="1"/>
                <c:pt idx="0">
                  <c:v> Balance </c:v>
                </c:pt>
              </c:strCache>
            </c:strRef>
          </c:tx>
          <c:spPr>
            <a:ln w="28575" cap="rnd">
              <a:solidFill>
                <a:schemeClr val="accent5">
                  <a:shade val="53000"/>
                </a:schemeClr>
              </a:solidFill>
              <a:round/>
            </a:ln>
            <a:effectLst/>
          </c:spPr>
          <c:marker>
            <c:symbol val="none"/>
          </c:marker>
          <c:cat>
            <c:multiLvlStrRef>
              <c:f>Report!$A:$B</c:f>
              <c:multiLvlStrCache>
                <c:ptCount val="136"/>
                <c:lvl>
                  <c:pt idx="0">
                    <c:v>Month</c:v>
                  </c:pt>
                  <c:pt idx="1">
                    <c:v>December</c:v>
                  </c:pt>
                  <c:pt idx="2">
                    <c:v>December</c:v>
                  </c:pt>
                  <c:pt idx="3">
                    <c:v>December</c:v>
                  </c:pt>
                  <c:pt idx="4">
                    <c:v>December</c:v>
                  </c:pt>
                  <c:pt idx="5">
                    <c:v>December</c:v>
                  </c:pt>
                  <c:pt idx="6">
                    <c:v>December</c:v>
                  </c:pt>
                  <c:pt idx="7">
                    <c:v>December</c:v>
                  </c:pt>
                  <c:pt idx="8">
                    <c:v>December</c:v>
                  </c:pt>
                  <c:pt idx="9">
                    <c:v>December</c:v>
                  </c:pt>
                  <c:pt idx="10">
                    <c:v>December</c:v>
                  </c:pt>
                  <c:pt idx="11">
                    <c:v>December</c:v>
                  </c:pt>
                  <c:pt idx="12">
                    <c:v>December</c:v>
                  </c:pt>
                  <c:pt idx="13">
                    <c:v>December</c:v>
                  </c:pt>
                  <c:pt idx="14">
                    <c:v>January</c:v>
                  </c:pt>
                  <c:pt idx="15">
                    <c:v>January</c:v>
                  </c:pt>
                  <c:pt idx="16">
                    <c:v>January</c:v>
                  </c:pt>
                  <c:pt idx="17">
                    <c:v>January</c:v>
                  </c:pt>
                  <c:pt idx="18">
                    <c:v>January</c:v>
                  </c:pt>
                  <c:pt idx="19">
                    <c:v>January</c:v>
                  </c:pt>
                  <c:pt idx="20">
                    <c:v>January</c:v>
                  </c:pt>
                  <c:pt idx="21">
                    <c:v>January</c:v>
                  </c:pt>
                  <c:pt idx="22">
                    <c:v>January</c:v>
                  </c:pt>
                  <c:pt idx="23">
                    <c:v>January</c:v>
                  </c:pt>
                  <c:pt idx="24">
                    <c:v>January</c:v>
                  </c:pt>
                  <c:pt idx="25">
                    <c:v>January</c:v>
                  </c:pt>
                  <c:pt idx="26">
                    <c:v>January</c:v>
                  </c:pt>
                  <c:pt idx="27">
                    <c:v>January</c:v>
                  </c:pt>
                  <c:pt idx="28">
                    <c:v>January</c:v>
                  </c:pt>
                  <c:pt idx="29">
                    <c:v>January</c:v>
                  </c:pt>
                  <c:pt idx="30">
                    <c:v>January</c:v>
                  </c:pt>
                  <c:pt idx="31">
                    <c:v>January</c:v>
                  </c:pt>
                  <c:pt idx="32">
                    <c:v>January</c:v>
                  </c:pt>
                  <c:pt idx="33">
                    <c:v>January</c:v>
                  </c:pt>
                  <c:pt idx="34">
                    <c:v>January</c:v>
                  </c:pt>
                  <c:pt idx="35">
                    <c:v>January</c:v>
                  </c:pt>
                  <c:pt idx="36">
                    <c:v>January</c:v>
                  </c:pt>
                  <c:pt idx="37">
                    <c:v>January</c:v>
                  </c:pt>
                  <c:pt idx="38">
                    <c:v>January</c:v>
                  </c:pt>
                  <c:pt idx="39">
                    <c:v>January</c:v>
                  </c:pt>
                  <c:pt idx="40">
                    <c:v>January</c:v>
                  </c:pt>
                  <c:pt idx="41">
                    <c:v>January</c:v>
                  </c:pt>
                  <c:pt idx="42">
                    <c:v>January</c:v>
                  </c:pt>
                  <c:pt idx="43">
                    <c:v>January</c:v>
                  </c:pt>
                  <c:pt idx="44">
                    <c:v>January</c:v>
                  </c:pt>
                  <c:pt idx="45">
                    <c:v>January</c:v>
                  </c:pt>
                  <c:pt idx="46">
                    <c:v>January</c:v>
                  </c:pt>
                  <c:pt idx="47">
                    <c:v>January</c:v>
                  </c:pt>
                  <c:pt idx="48">
                    <c:v>January</c:v>
                  </c:pt>
                  <c:pt idx="49">
                    <c:v>January</c:v>
                  </c:pt>
                  <c:pt idx="50">
                    <c:v>January</c:v>
                  </c:pt>
                  <c:pt idx="51">
                    <c:v>January</c:v>
                  </c:pt>
                  <c:pt idx="52">
                    <c:v>January</c:v>
                  </c:pt>
                  <c:pt idx="53">
                    <c:v>January</c:v>
                  </c:pt>
                  <c:pt idx="54">
                    <c:v>January</c:v>
                  </c:pt>
                  <c:pt idx="55">
                    <c:v>January</c:v>
                  </c:pt>
                  <c:pt idx="56">
                    <c:v>February</c:v>
                  </c:pt>
                  <c:pt idx="57">
                    <c:v>February</c:v>
                  </c:pt>
                  <c:pt idx="58">
                    <c:v>February</c:v>
                  </c:pt>
                  <c:pt idx="59">
                    <c:v>February</c:v>
                  </c:pt>
                  <c:pt idx="60">
                    <c:v>February</c:v>
                  </c:pt>
                  <c:pt idx="61">
                    <c:v>February</c:v>
                  </c:pt>
                  <c:pt idx="62">
                    <c:v>February</c:v>
                  </c:pt>
                  <c:pt idx="63">
                    <c:v>February</c:v>
                  </c:pt>
                  <c:pt idx="64">
                    <c:v>February</c:v>
                  </c:pt>
                  <c:pt idx="65">
                    <c:v>February</c:v>
                  </c:pt>
                  <c:pt idx="66">
                    <c:v>February</c:v>
                  </c:pt>
                  <c:pt idx="67">
                    <c:v>February</c:v>
                  </c:pt>
                  <c:pt idx="68">
                    <c:v>February</c:v>
                  </c:pt>
                  <c:pt idx="69">
                    <c:v>February</c:v>
                  </c:pt>
                  <c:pt idx="70">
                    <c:v>February</c:v>
                  </c:pt>
                  <c:pt idx="71">
                    <c:v>February</c:v>
                  </c:pt>
                  <c:pt idx="72">
                    <c:v>February</c:v>
                  </c:pt>
                  <c:pt idx="73">
                    <c:v>February</c:v>
                  </c:pt>
                  <c:pt idx="74">
                    <c:v>February</c:v>
                  </c:pt>
                  <c:pt idx="75">
                    <c:v>February</c:v>
                  </c:pt>
                  <c:pt idx="76">
                    <c:v>February</c:v>
                  </c:pt>
                  <c:pt idx="77">
                    <c:v>February</c:v>
                  </c:pt>
                  <c:pt idx="78">
                    <c:v>February</c:v>
                  </c:pt>
                  <c:pt idx="79">
                    <c:v>February</c:v>
                  </c:pt>
                  <c:pt idx="80">
                    <c:v>February</c:v>
                  </c:pt>
                  <c:pt idx="81">
                    <c:v>February</c:v>
                  </c:pt>
                  <c:pt idx="82">
                    <c:v>February</c:v>
                  </c:pt>
                  <c:pt idx="83">
                    <c:v>February</c:v>
                  </c:pt>
                  <c:pt idx="84">
                    <c:v>February</c:v>
                  </c:pt>
                  <c:pt idx="85">
                    <c:v>February</c:v>
                  </c:pt>
                  <c:pt idx="86">
                    <c:v>February</c:v>
                  </c:pt>
                  <c:pt idx="87">
                    <c:v>February</c:v>
                  </c:pt>
                  <c:pt idx="88">
                    <c:v>February</c:v>
                  </c:pt>
                  <c:pt idx="89">
                    <c:v>February</c:v>
                  </c:pt>
                  <c:pt idx="90">
                    <c:v>February</c:v>
                  </c:pt>
                  <c:pt idx="91">
                    <c:v>February</c:v>
                  </c:pt>
                  <c:pt idx="92">
                    <c:v>February</c:v>
                  </c:pt>
                  <c:pt idx="93">
                    <c:v>February</c:v>
                  </c:pt>
                  <c:pt idx="94">
                    <c:v>February</c:v>
                  </c:pt>
                  <c:pt idx="95">
                    <c:v>February</c:v>
                  </c:pt>
                  <c:pt idx="96">
                    <c:v>February</c:v>
                  </c:pt>
                  <c:pt idx="97">
                    <c:v>February</c:v>
                  </c:pt>
                  <c:pt idx="98">
                    <c:v>February</c:v>
                  </c:pt>
                  <c:pt idx="99">
                    <c:v>March</c:v>
                  </c:pt>
                  <c:pt idx="100">
                    <c:v>March</c:v>
                  </c:pt>
                  <c:pt idx="101">
                    <c:v>March</c:v>
                  </c:pt>
                  <c:pt idx="102">
                    <c:v>March</c:v>
                  </c:pt>
                  <c:pt idx="103">
                    <c:v>March</c:v>
                  </c:pt>
                  <c:pt idx="104">
                    <c:v>March</c:v>
                  </c:pt>
                  <c:pt idx="105">
                    <c:v>March</c:v>
                  </c:pt>
                  <c:pt idx="106">
                    <c:v>March</c:v>
                  </c:pt>
                  <c:pt idx="107">
                    <c:v>March</c:v>
                  </c:pt>
                  <c:pt idx="108">
                    <c:v>March</c:v>
                  </c:pt>
                  <c:pt idx="109">
                    <c:v>March</c:v>
                  </c:pt>
                  <c:pt idx="110">
                    <c:v>March</c:v>
                  </c:pt>
                  <c:pt idx="111">
                    <c:v>March</c:v>
                  </c:pt>
                  <c:pt idx="112">
                    <c:v>March</c:v>
                  </c:pt>
                  <c:pt idx="113">
                    <c:v>March</c:v>
                  </c:pt>
                  <c:pt idx="114">
                    <c:v>March</c:v>
                  </c:pt>
                  <c:pt idx="115">
                    <c:v>March</c:v>
                  </c:pt>
                  <c:pt idx="116">
                    <c:v>March</c:v>
                  </c:pt>
                  <c:pt idx="117">
                    <c:v>March</c:v>
                  </c:pt>
                  <c:pt idx="118">
                    <c:v>March</c:v>
                  </c:pt>
                  <c:pt idx="119">
                    <c:v>March</c:v>
                  </c:pt>
                  <c:pt idx="120">
                    <c:v>March</c:v>
                  </c:pt>
                  <c:pt idx="121">
                    <c:v>March</c:v>
                  </c:pt>
                  <c:pt idx="122">
                    <c:v>March</c:v>
                  </c:pt>
                  <c:pt idx="123">
                    <c:v>March</c:v>
                  </c:pt>
                  <c:pt idx="124">
                    <c:v>March</c:v>
                  </c:pt>
                  <c:pt idx="125">
                    <c:v>March</c:v>
                  </c:pt>
                  <c:pt idx="126">
                    <c:v>March</c:v>
                  </c:pt>
                  <c:pt idx="127">
                    <c:v>March</c:v>
                  </c:pt>
                  <c:pt idx="128">
                    <c:v>March</c:v>
                  </c:pt>
                  <c:pt idx="129">
                    <c:v>March</c:v>
                  </c:pt>
                  <c:pt idx="130">
                    <c:v>March</c:v>
                  </c:pt>
                  <c:pt idx="131">
                    <c:v>March</c:v>
                  </c:pt>
                  <c:pt idx="132">
                    <c:v>March</c:v>
                  </c:pt>
                  <c:pt idx="133">
                    <c:v>March</c:v>
                  </c:pt>
                  <c:pt idx="134">
                    <c:v>March</c:v>
                  </c:pt>
                  <c:pt idx="135">
                    <c:v>March</c:v>
                  </c:pt>
                </c:lvl>
                <c:lvl>
                  <c:pt idx="0">
                    <c:v>Date</c:v>
                  </c:pt>
                  <c:pt idx="1">
                    <c:v>23</c:v>
                  </c:pt>
                  <c:pt idx="2">
                    <c:v>24</c:v>
                  </c:pt>
                  <c:pt idx="3">
                    <c:v>24</c:v>
                  </c:pt>
                  <c:pt idx="4">
                    <c:v>25</c:v>
                  </c:pt>
                  <c:pt idx="5">
                    <c:v>25</c:v>
                  </c:pt>
                  <c:pt idx="6">
                    <c:v>26</c:v>
                  </c:pt>
                  <c:pt idx="7">
                    <c:v>26</c:v>
                  </c:pt>
                  <c:pt idx="8">
                    <c:v>27</c:v>
                  </c:pt>
                  <c:pt idx="9">
                    <c:v>28</c:v>
                  </c:pt>
                  <c:pt idx="10">
                    <c:v>29</c:v>
                  </c:pt>
                  <c:pt idx="11">
                    <c:v>30</c:v>
                  </c:pt>
                  <c:pt idx="12">
                    <c:v>30</c:v>
                  </c:pt>
                  <c:pt idx="13">
                    <c:v>31</c:v>
                  </c:pt>
                  <c:pt idx="14">
                    <c:v>01</c:v>
                  </c:pt>
                  <c:pt idx="15">
                    <c:v>01</c:v>
                  </c:pt>
                  <c:pt idx="16">
                    <c:v>02</c:v>
                  </c:pt>
                  <c:pt idx="17">
                    <c:v>03</c:v>
                  </c:pt>
                  <c:pt idx="18">
                    <c:v>04</c:v>
                  </c:pt>
                  <c:pt idx="19">
                    <c:v>05</c:v>
                  </c:pt>
                  <c:pt idx="20">
                    <c:v>06</c:v>
                  </c:pt>
                  <c:pt idx="21">
                    <c:v>06</c:v>
                  </c:pt>
                  <c:pt idx="22">
                    <c:v>07</c:v>
                  </c:pt>
                  <c:pt idx="23">
                    <c:v>08</c:v>
                  </c:pt>
                  <c:pt idx="24">
                    <c:v>09</c:v>
                  </c:pt>
                  <c:pt idx="25">
                    <c:v>09</c:v>
                  </c:pt>
                  <c:pt idx="26">
                    <c:v>09</c:v>
                  </c:pt>
                  <c:pt idx="27">
                    <c:v>10</c:v>
                  </c:pt>
                  <c:pt idx="28">
                    <c:v>11</c:v>
                  </c:pt>
                  <c:pt idx="29">
                    <c:v>12</c:v>
                  </c:pt>
                  <c:pt idx="30">
                    <c:v>12</c:v>
                  </c:pt>
                  <c:pt idx="31">
                    <c:v>13</c:v>
                  </c:pt>
                  <c:pt idx="32">
                    <c:v>13</c:v>
                  </c:pt>
                  <c:pt idx="33">
                    <c:v>14</c:v>
                  </c:pt>
                  <c:pt idx="34">
                    <c:v>15</c:v>
                  </c:pt>
                  <c:pt idx="35">
                    <c:v>15</c:v>
                  </c:pt>
                  <c:pt idx="36">
                    <c:v>15</c:v>
                  </c:pt>
                  <c:pt idx="37">
                    <c:v>16</c:v>
                  </c:pt>
                  <c:pt idx="38">
                    <c:v>17</c:v>
                  </c:pt>
                  <c:pt idx="39">
                    <c:v>17</c:v>
                  </c:pt>
                  <c:pt idx="40">
                    <c:v>18</c:v>
                  </c:pt>
                  <c:pt idx="41">
                    <c:v>18</c:v>
                  </c:pt>
                  <c:pt idx="42">
                    <c:v>18</c:v>
                  </c:pt>
                  <c:pt idx="43">
                    <c:v>19</c:v>
                  </c:pt>
                  <c:pt idx="44">
                    <c:v>20</c:v>
                  </c:pt>
                  <c:pt idx="45">
                    <c:v>20</c:v>
                  </c:pt>
                  <c:pt idx="46">
                    <c:v>25</c:v>
                  </c:pt>
                  <c:pt idx="47">
                    <c:v>25</c:v>
                  </c:pt>
                  <c:pt idx="48">
                    <c:v>27</c:v>
                  </c:pt>
                  <c:pt idx="49">
                    <c:v>28</c:v>
                  </c:pt>
                  <c:pt idx="50">
                    <c:v>29</c:v>
                  </c:pt>
                  <c:pt idx="51">
                    <c:v>29</c:v>
                  </c:pt>
                  <c:pt idx="52">
                    <c:v>29</c:v>
                  </c:pt>
                  <c:pt idx="53">
                    <c:v>30</c:v>
                  </c:pt>
                  <c:pt idx="54">
                    <c:v>31</c:v>
                  </c:pt>
                  <c:pt idx="55">
                    <c:v>31</c:v>
                  </c:pt>
                  <c:pt idx="56">
                    <c:v>01</c:v>
                  </c:pt>
                  <c:pt idx="57">
                    <c:v>02</c:v>
                  </c:pt>
                  <c:pt idx="58">
                    <c:v>04</c:v>
                  </c:pt>
                  <c:pt idx="59">
                    <c:v>05</c:v>
                  </c:pt>
                  <c:pt idx="60">
                    <c:v>05</c:v>
                  </c:pt>
                  <c:pt idx="61">
                    <c:v>06</c:v>
                  </c:pt>
                  <c:pt idx="62">
                    <c:v>06</c:v>
                  </c:pt>
                  <c:pt idx="63">
                    <c:v>07</c:v>
                  </c:pt>
                  <c:pt idx="64">
                    <c:v>07</c:v>
                  </c:pt>
                  <c:pt idx="65">
                    <c:v>08</c:v>
                  </c:pt>
                  <c:pt idx="66">
                    <c:v>08</c:v>
                  </c:pt>
                  <c:pt idx="67">
                    <c:v>09</c:v>
                  </c:pt>
                  <c:pt idx="68">
                    <c:v>09</c:v>
                  </c:pt>
                  <c:pt idx="69">
                    <c:v>09</c:v>
                  </c:pt>
                  <c:pt idx="70">
                    <c:v>10</c:v>
                  </c:pt>
                  <c:pt idx="71">
                    <c:v>11</c:v>
                  </c:pt>
                  <c:pt idx="72">
                    <c:v>13</c:v>
                  </c:pt>
                  <c:pt idx="73">
                    <c:v>14</c:v>
                  </c:pt>
                  <c:pt idx="74">
                    <c:v>14</c:v>
                  </c:pt>
                  <c:pt idx="75">
                    <c:v>14</c:v>
                  </c:pt>
                  <c:pt idx="76">
                    <c:v>14</c:v>
                  </c:pt>
                  <c:pt idx="77">
                    <c:v>15</c:v>
                  </c:pt>
                  <c:pt idx="78">
                    <c:v>16</c:v>
                  </c:pt>
                  <c:pt idx="79">
                    <c:v>17</c:v>
                  </c:pt>
                  <c:pt idx="80">
                    <c:v>18</c:v>
                  </c:pt>
                  <c:pt idx="81">
                    <c:v>19</c:v>
                  </c:pt>
                  <c:pt idx="82">
                    <c:v>19</c:v>
                  </c:pt>
                  <c:pt idx="83">
                    <c:v>20</c:v>
                  </c:pt>
                  <c:pt idx="84">
                    <c:v>21</c:v>
                  </c:pt>
                  <c:pt idx="85">
                    <c:v>22</c:v>
                  </c:pt>
                  <c:pt idx="86">
                    <c:v>23</c:v>
                  </c:pt>
                  <c:pt idx="87">
                    <c:v>23</c:v>
                  </c:pt>
                  <c:pt idx="88">
                    <c:v>23</c:v>
                  </c:pt>
                  <c:pt idx="89">
                    <c:v>24</c:v>
                  </c:pt>
                  <c:pt idx="90">
                    <c:v>24</c:v>
                  </c:pt>
                  <c:pt idx="91">
                    <c:v>25</c:v>
                  </c:pt>
                  <c:pt idx="92">
                    <c:v>25</c:v>
                  </c:pt>
                  <c:pt idx="93">
                    <c:v>26</c:v>
                  </c:pt>
                  <c:pt idx="94">
                    <c:v>27</c:v>
                  </c:pt>
                  <c:pt idx="95">
                    <c:v>27</c:v>
                  </c:pt>
                  <c:pt idx="96">
                    <c:v>28</c:v>
                  </c:pt>
                  <c:pt idx="97">
                    <c:v>29</c:v>
                  </c:pt>
                  <c:pt idx="98">
                    <c:v>29</c:v>
                  </c:pt>
                  <c:pt idx="99">
                    <c:v>01</c:v>
                  </c:pt>
                  <c:pt idx="100">
                    <c:v>02</c:v>
                  </c:pt>
                  <c:pt idx="101">
                    <c:v>03</c:v>
                  </c:pt>
                  <c:pt idx="102">
                    <c:v>03</c:v>
                  </c:pt>
                  <c:pt idx="103">
                    <c:v>03</c:v>
                  </c:pt>
                  <c:pt idx="104">
                    <c:v>03</c:v>
                  </c:pt>
                  <c:pt idx="105">
                    <c:v>03</c:v>
                  </c:pt>
                  <c:pt idx="106">
                    <c:v>03</c:v>
                  </c:pt>
                  <c:pt idx="107">
                    <c:v>03</c:v>
                  </c:pt>
                  <c:pt idx="108">
                    <c:v>04</c:v>
                  </c:pt>
                  <c:pt idx="109">
                    <c:v>05</c:v>
                  </c:pt>
                  <c:pt idx="110">
                    <c:v>05</c:v>
                  </c:pt>
                  <c:pt idx="111">
                    <c:v>05</c:v>
                  </c:pt>
                  <c:pt idx="112">
                    <c:v>06</c:v>
                  </c:pt>
                  <c:pt idx="113">
                    <c:v>07</c:v>
                  </c:pt>
                  <c:pt idx="114">
                    <c:v>08</c:v>
                  </c:pt>
                  <c:pt idx="115">
                    <c:v>08</c:v>
                  </c:pt>
                  <c:pt idx="116">
                    <c:v>09</c:v>
                  </c:pt>
                  <c:pt idx="117">
                    <c:v>10</c:v>
                  </c:pt>
                  <c:pt idx="118">
                    <c:v>10</c:v>
                  </c:pt>
                  <c:pt idx="119">
                    <c:v>11</c:v>
                  </c:pt>
                  <c:pt idx="120">
                    <c:v>12</c:v>
                  </c:pt>
                  <c:pt idx="121">
                    <c:v>12</c:v>
                  </c:pt>
                  <c:pt idx="122">
                    <c:v>13</c:v>
                  </c:pt>
                  <c:pt idx="123">
                    <c:v>13</c:v>
                  </c:pt>
                  <c:pt idx="124">
                    <c:v>14</c:v>
                  </c:pt>
                  <c:pt idx="125">
                    <c:v>14</c:v>
                  </c:pt>
                  <c:pt idx="126">
                    <c:v>15</c:v>
                  </c:pt>
                  <c:pt idx="127">
                    <c:v>16</c:v>
                  </c:pt>
                  <c:pt idx="128">
                    <c:v>17</c:v>
                  </c:pt>
                  <c:pt idx="129">
                    <c:v>18</c:v>
                  </c:pt>
                  <c:pt idx="130">
                    <c:v>19</c:v>
                  </c:pt>
                  <c:pt idx="131">
                    <c:v>19</c:v>
                  </c:pt>
                  <c:pt idx="132">
                    <c:v>20</c:v>
                  </c:pt>
                  <c:pt idx="133">
                    <c:v>20</c:v>
                  </c:pt>
                  <c:pt idx="134">
                    <c:v>21</c:v>
                  </c:pt>
                  <c:pt idx="135">
                    <c:v>21</c:v>
                  </c:pt>
                </c:lvl>
              </c:multiLvlStrCache>
            </c:multiLvlStrRef>
          </c:cat>
          <c:val>
            <c:numRef>
              <c:f>Report!$J$2:$J$136</c:f>
              <c:numCache>
                <c:formatCode>_("₹"* #,##0_);_("₹"* \(#,##0\);_("₹"* "-"_);_(@_)</c:formatCode>
                <c:ptCount val="135"/>
                <c:pt idx="0">
                  <c:v>31678</c:v>
                </c:pt>
                <c:pt idx="1">
                  <c:v>31479</c:v>
                </c:pt>
                <c:pt idx="2">
                  <c:v>31275</c:v>
                </c:pt>
                <c:pt idx="3">
                  <c:v>31056</c:v>
                </c:pt>
                <c:pt idx="4">
                  <c:v>30028</c:v>
                </c:pt>
                <c:pt idx="5">
                  <c:v>29829</c:v>
                </c:pt>
                <c:pt idx="6">
                  <c:v>29829</c:v>
                </c:pt>
                <c:pt idx="7">
                  <c:v>29620</c:v>
                </c:pt>
                <c:pt idx="8">
                  <c:v>29421</c:v>
                </c:pt>
                <c:pt idx="9">
                  <c:v>29172</c:v>
                </c:pt>
                <c:pt idx="10">
                  <c:v>29093</c:v>
                </c:pt>
                <c:pt idx="11">
                  <c:v>26593</c:v>
                </c:pt>
                <c:pt idx="12">
                  <c:v>26314</c:v>
                </c:pt>
                <c:pt idx="13">
                  <c:v>26314</c:v>
                </c:pt>
                <c:pt idx="14">
                  <c:v>25745</c:v>
                </c:pt>
                <c:pt idx="15">
                  <c:v>25506</c:v>
                </c:pt>
                <c:pt idx="16">
                  <c:v>25287</c:v>
                </c:pt>
                <c:pt idx="17">
                  <c:v>24993</c:v>
                </c:pt>
                <c:pt idx="18">
                  <c:v>24764</c:v>
                </c:pt>
                <c:pt idx="19">
                  <c:v>24318</c:v>
                </c:pt>
                <c:pt idx="20">
                  <c:v>23618</c:v>
                </c:pt>
                <c:pt idx="21">
                  <c:v>23140</c:v>
                </c:pt>
                <c:pt idx="22">
                  <c:v>22995</c:v>
                </c:pt>
                <c:pt idx="23">
                  <c:v>19495</c:v>
                </c:pt>
                <c:pt idx="24">
                  <c:v>19291</c:v>
                </c:pt>
                <c:pt idx="25">
                  <c:v>19291</c:v>
                </c:pt>
                <c:pt idx="26">
                  <c:v>19057</c:v>
                </c:pt>
                <c:pt idx="27">
                  <c:v>18807</c:v>
                </c:pt>
                <c:pt idx="28">
                  <c:v>18797</c:v>
                </c:pt>
                <c:pt idx="29">
                  <c:v>18543</c:v>
                </c:pt>
                <c:pt idx="30">
                  <c:v>18358</c:v>
                </c:pt>
                <c:pt idx="31">
                  <c:v>18088</c:v>
                </c:pt>
                <c:pt idx="32">
                  <c:v>17433</c:v>
                </c:pt>
                <c:pt idx="33">
                  <c:v>17183</c:v>
                </c:pt>
                <c:pt idx="34">
                  <c:v>17183</c:v>
                </c:pt>
                <c:pt idx="35">
                  <c:v>17153</c:v>
                </c:pt>
                <c:pt idx="36">
                  <c:v>16874</c:v>
                </c:pt>
                <c:pt idx="37">
                  <c:v>16680</c:v>
                </c:pt>
                <c:pt idx="38">
                  <c:v>16060</c:v>
                </c:pt>
                <c:pt idx="39">
                  <c:v>15115</c:v>
                </c:pt>
                <c:pt idx="40">
                  <c:v>15076</c:v>
                </c:pt>
                <c:pt idx="41">
                  <c:v>14726</c:v>
                </c:pt>
                <c:pt idx="42">
                  <c:v>14557</c:v>
                </c:pt>
                <c:pt idx="43">
                  <c:v>4557</c:v>
                </c:pt>
                <c:pt idx="44">
                  <c:v>4557</c:v>
                </c:pt>
                <c:pt idx="45">
                  <c:v>3727</c:v>
                </c:pt>
                <c:pt idx="46">
                  <c:v>30111</c:v>
                </c:pt>
                <c:pt idx="47">
                  <c:v>30000</c:v>
                </c:pt>
                <c:pt idx="48">
                  <c:v>29900</c:v>
                </c:pt>
                <c:pt idx="49">
                  <c:v>29700</c:v>
                </c:pt>
                <c:pt idx="50">
                  <c:v>29640</c:v>
                </c:pt>
                <c:pt idx="51">
                  <c:v>28830</c:v>
                </c:pt>
                <c:pt idx="52">
                  <c:v>28670</c:v>
                </c:pt>
                <c:pt idx="53">
                  <c:v>28540</c:v>
                </c:pt>
                <c:pt idx="54">
                  <c:v>28530</c:v>
                </c:pt>
                <c:pt idx="55">
                  <c:v>28220</c:v>
                </c:pt>
                <c:pt idx="56">
                  <c:v>28006</c:v>
                </c:pt>
                <c:pt idx="57">
                  <c:v>27956</c:v>
                </c:pt>
                <c:pt idx="58">
                  <c:v>27861</c:v>
                </c:pt>
                <c:pt idx="59">
                  <c:v>27361</c:v>
                </c:pt>
                <c:pt idx="60">
                  <c:v>27341</c:v>
                </c:pt>
                <c:pt idx="61">
                  <c:v>27121</c:v>
                </c:pt>
                <c:pt idx="62">
                  <c:v>26991</c:v>
                </c:pt>
                <c:pt idx="63">
                  <c:v>26991</c:v>
                </c:pt>
                <c:pt idx="64">
                  <c:v>26721</c:v>
                </c:pt>
                <c:pt idx="65">
                  <c:v>26521</c:v>
                </c:pt>
                <c:pt idx="66">
                  <c:v>26471</c:v>
                </c:pt>
                <c:pt idx="67">
                  <c:v>22971</c:v>
                </c:pt>
                <c:pt idx="68">
                  <c:v>22861</c:v>
                </c:pt>
                <c:pt idx="69">
                  <c:v>22361</c:v>
                </c:pt>
                <c:pt idx="70">
                  <c:v>21661</c:v>
                </c:pt>
                <c:pt idx="71">
                  <c:v>21374</c:v>
                </c:pt>
                <c:pt idx="72">
                  <c:v>21374</c:v>
                </c:pt>
                <c:pt idx="73">
                  <c:v>21044</c:v>
                </c:pt>
                <c:pt idx="74">
                  <c:v>20845</c:v>
                </c:pt>
                <c:pt idx="75">
                  <c:v>20745</c:v>
                </c:pt>
                <c:pt idx="76">
                  <c:v>20506</c:v>
                </c:pt>
                <c:pt idx="77">
                  <c:v>20156</c:v>
                </c:pt>
                <c:pt idx="78">
                  <c:v>19966</c:v>
                </c:pt>
                <c:pt idx="79">
                  <c:v>19781</c:v>
                </c:pt>
                <c:pt idx="80">
                  <c:v>19491</c:v>
                </c:pt>
                <c:pt idx="81">
                  <c:v>18544</c:v>
                </c:pt>
                <c:pt idx="82">
                  <c:v>18404</c:v>
                </c:pt>
                <c:pt idx="83">
                  <c:v>18214</c:v>
                </c:pt>
                <c:pt idx="84">
                  <c:v>18044</c:v>
                </c:pt>
                <c:pt idx="85">
                  <c:v>18004</c:v>
                </c:pt>
                <c:pt idx="86">
                  <c:v>17914</c:v>
                </c:pt>
                <c:pt idx="87">
                  <c:v>17914</c:v>
                </c:pt>
                <c:pt idx="88">
                  <c:v>17674</c:v>
                </c:pt>
                <c:pt idx="89">
                  <c:v>17924</c:v>
                </c:pt>
                <c:pt idx="90">
                  <c:v>17704</c:v>
                </c:pt>
                <c:pt idx="91">
                  <c:v>42481</c:v>
                </c:pt>
                <c:pt idx="92">
                  <c:v>42251</c:v>
                </c:pt>
                <c:pt idx="93">
                  <c:v>42251</c:v>
                </c:pt>
                <c:pt idx="94">
                  <c:v>42067</c:v>
                </c:pt>
                <c:pt idx="95">
                  <c:v>41793</c:v>
                </c:pt>
                <c:pt idx="96">
                  <c:v>41601</c:v>
                </c:pt>
                <c:pt idx="97">
                  <c:v>41541</c:v>
                </c:pt>
                <c:pt idx="98">
                  <c:v>41300</c:v>
                </c:pt>
                <c:pt idx="99">
                  <c:v>41140</c:v>
                </c:pt>
                <c:pt idx="100">
                  <c:v>40041</c:v>
                </c:pt>
                <c:pt idx="101">
                  <c:v>39789</c:v>
                </c:pt>
                <c:pt idx="102">
                  <c:v>39789</c:v>
                </c:pt>
                <c:pt idx="103">
                  <c:v>39779</c:v>
                </c:pt>
                <c:pt idx="104">
                  <c:v>39790</c:v>
                </c:pt>
                <c:pt idx="105">
                  <c:v>39580</c:v>
                </c:pt>
                <c:pt idx="106">
                  <c:v>39580</c:v>
                </c:pt>
                <c:pt idx="107">
                  <c:v>39406</c:v>
                </c:pt>
                <c:pt idx="108">
                  <c:v>39386</c:v>
                </c:pt>
                <c:pt idx="109">
                  <c:v>39186</c:v>
                </c:pt>
                <c:pt idx="110">
                  <c:v>38846</c:v>
                </c:pt>
                <c:pt idx="111">
                  <c:v>38716</c:v>
                </c:pt>
                <c:pt idx="112">
                  <c:v>38626</c:v>
                </c:pt>
                <c:pt idx="113">
                  <c:v>38152</c:v>
                </c:pt>
                <c:pt idx="114">
                  <c:v>34652</c:v>
                </c:pt>
                <c:pt idx="115">
                  <c:v>34482</c:v>
                </c:pt>
                <c:pt idx="116">
                  <c:v>34288</c:v>
                </c:pt>
                <c:pt idx="117">
                  <c:v>34288</c:v>
                </c:pt>
                <c:pt idx="118">
                  <c:v>34125</c:v>
                </c:pt>
                <c:pt idx="119">
                  <c:v>33985</c:v>
                </c:pt>
                <c:pt idx="120">
                  <c:v>32784</c:v>
                </c:pt>
                <c:pt idx="121">
                  <c:v>32734</c:v>
                </c:pt>
                <c:pt idx="122">
                  <c:v>32600</c:v>
                </c:pt>
                <c:pt idx="123">
                  <c:v>32600</c:v>
                </c:pt>
                <c:pt idx="124">
                  <c:v>32490</c:v>
                </c:pt>
                <c:pt idx="125">
                  <c:v>32270</c:v>
                </c:pt>
                <c:pt idx="126">
                  <c:v>32166</c:v>
                </c:pt>
                <c:pt idx="127">
                  <c:v>31876</c:v>
                </c:pt>
                <c:pt idx="128">
                  <c:v>31686</c:v>
                </c:pt>
                <c:pt idx="129">
                  <c:v>31466</c:v>
                </c:pt>
                <c:pt idx="130">
                  <c:v>31476</c:v>
                </c:pt>
                <c:pt idx="131">
                  <c:v>31316</c:v>
                </c:pt>
                <c:pt idx="132">
                  <c:v>31286</c:v>
                </c:pt>
                <c:pt idx="133">
                  <c:v>31286</c:v>
                </c:pt>
                <c:pt idx="134">
                  <c:v>30762</c:v>
                </c:pt>
              </c:numCache>
            </c:numRef>
          </c:val>
          <c:smooth val="0"/>
          <c:extLst>
            <c:ext xmlns:c16="http://schemas.microsoft.com/office/drawing/2014/chart" uri="{C3380CC4-5D6E-409C-BE32-E72D297353CC}">
              <c16:uniqueId val="{00000000-6DFA-44C8-BD9D-A34DAA0D0D02}"/>
            </c:ext>
          </c:extLst>
        </c:ser>
        <c:dLbls>
          <c:showLegendKey val="0"/>
          <c:showVal val="0"/>
          <c:showCatName val="0"/>
          <c:showSerName val="0"/>
          <c:showPercent val="0"/>
          <c:showBubbleSize val="0"/>
        </c:dLbls>
        <c:smooth val="0"/>
        <c:axId val="1183980991"/>
        <c:axId val="1183981471"/>
        <c:extLst>
          <c:ext xmlns:c15="http://schemas.microsoft.com/office/drawing/2012/chart" uri="{02D57815-91ED-43cb-92C2-25804820EDAC}">
            <c15:filteredLineSeries>
              <c15:ser>
                <c:idx val="1"/>
                <c:order val="1"/>
                <c:tx>
                  <c:strRef>
                    <c:extLst>
                      <c:ext uri="{02D57815-91ED-43cb-92C2-25804820EDAC}">
                        <c15:formulaRef>
                          <c15:sqref>Report!$K$1</c15:sqref>
                        </c15:formulaRef>
                      </c:ext>
                    </c:extLst>
                    <c:strCache>
                      <c:ptCount val="1"/>
                      <c:pt idx="0">
                        <c:v> HDFC </c:v>
                      </c:pt>
                    </c:strCache>
                  </c:strRef>
                </c:tx>
                <c:spPr>
                  <a:ln w="28575" cap="rnd">
                    <a:solidFill>
                      <a:schemeClr val="accent5">
                        <a:shade val="76000"/>
                      </a:schemeClr>
                    </a:solidFill>
                    <a:round/>
                  </a:ln>
                  <a:effectLst/>
                </c:spPr>
                <c:marker>
                  <c:symbol val="none"/>
                </c:marker>
                <c:cat>
                  <c:multiLvlStrRef>
                    <c:extLst>
                      <c:ext uri="{02D57815-91ED-43cb-92C2-25804820EDAC}">
                        <c15:formulaRef>
                          <c15:sqref>Report!$A:$B</c15:sqref>
                        </c15:formulaRef>
                      </c:ext>
                    </c:extLst>
                    <c:multiLvlStrCache>
                      <c:ptCount val="136"/>
                      <c:lvl>
                        <c:pt idx="0">
                          <c:v>Month</c:v>
                        </c:pt>
                        <c:pt idx="1">
                          <c:v>December</c:v>
                        </c:pt>
                        <c:pt idx="2">
                          <c:v>December</c:v>
                        </c:pt>
                        <c:pt idx="3">
                          <c:v>December</c:v>
                        </c:pt>
                        <c:pt idx="4">
                          <c:v>December</c:v>
                        </c:pt>
                        <c:pt idx="5">
                          <c:v>December</c:v>
                        </c:pt>
                        <c:pt idx="6">
                          <c:v>December</c:v>
                        </c:pt>
                        <c:pt idx="7">
                          <c:v>December</c:v>
                        </c:pt>
                        <c:pt idx="8">
                          <c:v>December</c:v>
                        </c:pt>
                        <c:pt idx="9">
                          <c:v>December</c:v>
                        </c:pt>
                        <c:pt idx="10">
                          <c:v>December</c:v>
                        </c:pt>
                        <c:pt idx="11">
                          <c:v>December</c:v>
                        </c:pt>
                        <c:pt idx="12">
                          <c:v>December</c:v>
                        </c:pt>
                        <c:pt idx="13">
                          <c:v>December</c:v>
                        </c:pt>
                        <c:pt idx="14">
                          <c:v>January</c:v>
                        </c:pt>
                        <c:pt idx="15">
                          <c:v>January</c:v>
                        </c:pt>
                        <c:pt idx="16">
                          <c:v>January</c:v>
                        </c:pt>
                        <c:pt idx="17">
                          <c:v>January</c:v>
                        </c:pt>
                        <c:pt idx="18">
                          <c:v>January</c:v>
                        </c:pt>
                        <c:pt idx="19">
                          <c:v>January</c:v>
                        </c:pt>
                        <c:pt idx="20">
                          <c:v>January</c:v>
                        </c:pt>
                        <c:pt idx="21">
                          <c:v>January</c:v>
                        </c:pt>
                        <c:pt idx="22">
                          <c:v>January</c:v>
                        </c:pt>
                        <c:pt idx="23">
                          <c:v>January</c:v>
                        </c:pt>
                        <c:pt idx="24">
                          <c:v>January</c:v>
                        </c:pt>
                        <c:pt idx="25">
                          <c:v>January</c:v>
                        </c:pt>
                        <c:pt idx="26">
                          <c:v>January</c:v>
                        </c:pt>
                        <c:pt idx="27">
                          <c:v>January</c:v>
                        </c:pt>
                        <c:pt idx="28">
                          <c:v>January</c:v>
                        </c:pt>
                        <c:pt idx="29">
                          <c:v>January</c:v>
                        </c:pt>
                        <c:pt idx="30">
                          <c:v>January</c:v>
                        </c:pt>
                        <c:pt idx="31">
                          <c:v>January</c:v>
                        </c:pt>
                        <c:pt idx="32">
                          <c:v>January</c:v>
                        </c:pt>
                        <c:pt idx="33">
                          <c:v>January</c:v>
                        </c:pt>
                        <c:pt idx="34">
                          <c:v>January</c:v>
                        </c:pt>
                        <c:pt idx="35">
                          <c:v>January</c:v>
                        </c:pt>
                        <c:pt idx="36">
                          <c:v>January</c:v>
                        </c:pt>
                        <c:pt idx="37">
                          <c:v>January</c:v>
                        </c:pt>
                        <c:pt idx="38">
                          <c:v>January</c:v>
                        </c:pt>
                        <c:pt idx="39">
                          <c:v>January</c:v>
                        </c:pt>
                        <c:pt idx="40">
                          <c:v>January</c:v>
                        </c:pt>
                        <c:pt idx="41">
                          <c:v>January</c:v>
                        </c:pt>
                        <c:pt idx="42">
                          <c:v>January</c:v>
                        </c:pt>
                        <c:pt idx="43">
                          <c:v>January</c:v>
                        </c:pt>
                        <c:pt idx="44">
                          <c:v>January</c:v>
                        </c:pt>
                        <c:pt idx="45">
                          <c:v>January</c:v>
                        </c:pt>
                        <c:pt idx="46">
                          <c:v>January</c:v>
                        </c:pt>
                        <c:pt idx="47">
                          <c:v>January</c:v>
                        </c:pt>
                        <c:pt idx="48">
                          <c:v>January</c:v>
                        </c:pt>
                        <c:pt idx="49">
                          <c:v>January</c:v>
                        </c:pt>
                        <c:pt idx="50">
                          <c:v>January</c:v>
                        </c:pt>
                        <c:pt idx="51">
                          <c:v>January</c:v>
                        </c:pt>
                        <c:pt idx="52">
                          <c:v>January</c:v>
                        </c:pt>
                        <c:pt idx="53">
                          <c:v>January</c:v>
                        </c:pt>
                        <c:pt idx="54">
                          <c:v>January</c:v>
                        </c:pt>
                        <c:pt idx="55">
                          <c:v>January</c:v>
                        </c:pt>
                        <c:pt idx="56">
                          <c:v>February</c:v>
                        </c:pt>
                        <c:pt idx="57">
                          <c:v>February</c:v>
                        </c:pt>
                        <c:pt idx="58">
                          <c:v>February</c:v>
                        </c:pt>
                        <c:pt idx="59">
                          <c:v>February</c:v>
                        </c:pt>
                        <c:pt idx="60">
                          <c:v>February</c:v>
                        </c:pt>
                        <c:pt idx="61">
                          <c:v>February</c:v>
                        </c:pt>
                        <c:pt idx="62">
                          <c:v>February</c:v>
                        </c:pt>
                        <c:pt idx="63">
                          <c:v>February</c:v>
                        </c:pt>
                        <c:pt idx="64">
                          <c:v>February</c:v>
                        </c:pt>
                        <c:pt idx="65">
                          <c:v>February</c:v>
                        </c:pt>
                        <c:pt idx="66">
                          <c:v>February</c:v>
                        </c:pt>
                        <c:pt idx="67">
                          <c:v>February</c:v>
                        </c:pt>
                        <c:pt idx="68">
                          <c:v>February</c:v>
                        </c:pt>
                        <c:pt idx="69">
                          <c:v>February</c:v>
                        </c:pt>
                        <c:pt idx="70">
                          <c:v>February</c:v>
                        </c:pt>
                        <c:pt idx="71">
                          <c:v>February</c:v>
                        </c:pt>
                        <c:pt idx="72">
                          <c:v>February</c:v>
                        </c:pt>
                        <c:pt idx="73">
                          <c:v>February</c:v>
                        </c:pt>
                        <c:pt idx="74">
                          <c:v>February</c:v>
                        </c:pt>
                        <c:pt idx="75">
                          <c:v>February</c:v>
                        </c:pt>
                        <c:pt idx="76">
                          <c:v>February</c:v>
                        </c:pt>
                        <c:pt idx="77">
                          <c:v>February</c:v>
                        </c:pt>
                        <c:pt idx="78">
                          <c:v>February</c:v>
                        </c:pt>
                        <c:pt idx="79">
                          <c:v>February</c:v>
                        </c:pt>
                        <c:pt idx="80">
                          <c:v>February</c:v>
                        </c:pt>
                        <c:pt idx="81">
                          <c:v>February</c:v>
                        </c:pt>
                        <c:pt idx="82">
                          <c:v>February</c:v>
                        </c:pt>
                        <c:pt idx="83">
                          <c:v>February</c:v>
                        </c:pt>
                        <c:pt idx="84">
                          <c:v>February</c:v>
                        </c:pt>
                        <c:pt idx="85">
                          <c:v>February</c:v>
                        </c:pt>
                        <c:pt idx="86">
                          <c:v>February</c:v>
                        </c:pt>
                        <c:pt idx="87">
                          <c:v>February</c:v>
                        </c:pt>
                        <c:pt idx="88">
                          <c:v>February</c:v>
                        </c:pt>
                        <c:pt idx="89">
                          <c:v>February</c:v>
                        </c:pt>
                        <c:pt idx="90">
                          <c:v>February</c:v>
                        </c:pt>
                        <c:pt idx="91">
                          <c:v>February</c:v>
                        </c:pt>
                        <c:pt idx="92">
                          <c:v>February</c:v>
                        </c:pt>
                        <c:pt idx="93">
                          <c:v>February</c:v>
                        </c:pt>
                        <c:pt idx="94">
                          <c:v>February</c:v>
                        </c:pt>
                        <c:pt idx="95">
                          <c:v>February</c:v>
                        </c:pt>
                        <c:pt idx="96">
                          <c:v>February</c:v>
                        </c:pt>
                        <c:pt idx="97">
                          <c:v>February</c:v>
                        </c:pt>
                        <c:pt idx="98">
                          <c:v>February</c:v>
                        </c:pt>
                        <c:pt idx="99">
                          <c:v>March</c:v>
                        </c:pt>
                        <c:pt idx="100">
                          <c:v>March</c:v>
                        </c:pt>
                        <c:pt idx="101">
                          <c:v>March</c:v>
                        </c:pt>
                        <c:pt idx="102">
                          <c:v>March</c:v>
                        </c:pt>
                        <c:pt idx="103">
                          <c:v>March</c:v>
                        </c:pt>
                        <c:pt idx="104">
                          <c:v>March</c:v>
                        </c:pt>
                        <c:pt idx="105">
                          <c:v>March</c:v>
                        </c:pt>
                        <c:pt idx="106">
                          <c:v>March</c:v>
                        </c:pt>
                        <c:pt idx="107">
                          <c:v>March</c:v>
                        </c:pt>
                        <c:pt idx="108">
                          <c:v>March</c:v>
                        </c:pt>
                        <c:pt idx="109">
                          <c:v>March</c:v>
                        </c:pt>
                        <c:pt idx="110">
                          <c:v>March</c:v>
                        </c:pt>
                        <c:pt idx="111">
                          <c:v>March</c:v>
                        </c:pt>
                        <c:pt idx="112">
                          <c:v>March</c:v>
                        </c:pt>
                        <c:pt idx="113">
                          <c:v>March</c:v>
                        </c:pt>
                        <c:pt idx="114">
                          <c:v>March</c:v>
                        </c:pt>
                        <c:pt idx="115">
                          <c:v>March</c:v>
                        </c:pt>
                        <c:pt idx="116">
                          <c:v>March</c:v>
                        </c:pt>
                        <c:pt idx="117">
                          <c:v>March</c:v>
                        </c:pt>
                        <c:pt idx="118">
                          <c:v>March</c:v>
                        </c:pt>
                        <c:pt idx="119">
                          <c:v>March</c:v>
                        </c:pt>
                        <c:pt idx="120">
                          <c:v>March</c:v>
                        </c:pt>
                        <c:pt idx="121">
                          <c:v>March</c:v>
                        </c:pt>
                        <c:pt idx="122">
                          <c:v>March</c:v>
                        </c:pt>
                        <c:pt idx="123">
                          <c:v>March</c:v>
                        </c:pt>
                        <c:pt idx="124">
                          <c:v>March</c:v>
                        </c:pt>
                        <c:pt idx="125">
                          <c:v>March</c:v>
                        </c:pt>
                        <c:pt idx="126">
                          <c:v>March</c:v>
                        </c:pt>
                        <c:pt idx="127">
                          <c:v>March</c:v>
                        </c:pt>
                        <c:pt idx="128">
                          <c:v>March</c:v>
                        </c:pt>
                        <c:pt idx="129">
                          <c:v>March</c:v>
                        </c:pt>
                        <c:pt idx="130">
                          <c:v>March</c:v>
                        </c:pt>
                        <c:pt idx="131">
                          <c:v>March</c:v>
                        </c:pt>
                        <c:pt idx="132">
                          <c:v>March</c:v>
                        </c:pt>
                        <c:pt idx="133">
                          <c:v>March</c:v>
                        </c:pt>
                        <c:pt idx="134">
                          <c:v>March</c:v>
                        </c:pt>
                        <c:pt idx="135">
                          <c:v>March</c:v>
                        </c:pt>
                      </c:lvl>
                      <c:lvl>
                        <c:pt idx="0">
                          <c:v>Date</c:v>
                        </c:pt>
                        <c:pt idx="1">
                          <c:v>23</c:v>
                        </c:pt>
                        <c:pt idx="2">
                          <c:v>24</c:v>
                        </c:pt>
                        <c:pt idx="3">
                          <c:v>24</c:v>
                        </c:pt>
                        <c:pt idx="4">
                          <c:v>25</c:v>
                        </c:pt>
                        <c:pt idx="5">
                          <c:v>25</c:v>
                        </c:pt>
                        <c:pt idx="6">
                          <c:v>26</c:v>
                        </c:pt>
                        <c:pt idx="7">
                          <c:v>26</c:v>
                        </c:pt>
                        <c:pt idx="8">
                          <c:v>27</c:v>
                        </c:pt>
                        <c:pt idx="9">
                          <c:v>28</c:v>
                        </c:pt>
                        <c:pt idx="10">
                          <c:v>29</c:v>
                        </c:pt>
                        <c:pt idx="11">
                          <c:v>30</c:v>
                        </c:pt>
                        <c:pt idx="12">
                          <c:v>30</c:v>
                        </c:pt>
                        <c:pt idx="13">
                          <c:v>31</c:v>
                        </c:pt>
                        <c:pt idx="14">
                          <c:v>01</c:v>
                        </c:pt>
                        <c:pt idx="15">
                          <c:v>01</c:v>
                        </c:pt>
                        <c:pt idx="16">
                          <c:v>02</c:v>
                        </c:pt>
                        <c:pt idx="17">
                          <c:v>03</c:v>
                        </c:pt>
                        <c:pt idx="18">
                          <c:v>04</c:v>
                        </c:pt>
                        <c:pt idx="19">
                          <c:v>05</c:v>
                        </c:pt>
                        <c:pt idx="20">
                          <c:v>06</c:v>
                        </c:pt>
                        <c:pt idx="21">
                          <c:v>06</c:v>
                        </c:pt>
                        <c:pt idx="22">
                          <c:v>07</c:v>
                        </c:pt>
                        <c:pt idx="23">
                          <c:v>08</c:v>
                        </c:pt>
                        <c:pt idx="24">
                          <c:v>09</c:v>
                        </c:pt>
                        <c:pt idx="25">
                          <c:v>09</c:v>
                        </c:pt>
                        <c:pt idx="26">
                          <c:v>09</c:v>
                        </c:pt>
                        <c:pt idx="27">
                          <c:v>10</c:v>
                        </c:pt>
                        <c:pt idx="28">
                          <c:v>11</c:v>
                        </c:pt>
                        <c:pt idx="29">
                          <c:v>12</c:v>
                        </c:pt>
                        <c:pt idx="30">
                          <c:v>12</c:v>
                        </c:pt>
                        <c:pt idx="31">
                          <c:v>13</c:v>
                        </c:pt>
                        <c:pt idx="32">
                          <c:v>13</c:v>
                        </c:pt>
                        <c:pt idx="33">
                          <c:v>14</c:v>
                        </c:pt>
                        <c:pt idx="34">
                          <c:v>15</c:v>
                        </c:pt>
                        <c:pt idx="35">
                          <c:v>15</c:v>
                        </c:pt>
                        <c:pt idx="36">
                          <c:v>15</c:v>
                        </c:pt>
                        <c:pt idx="37">
                          <c:v>16</c:v>
                        </c:pt>
                        <c:pt idx="38">
                          <c:v>17</c:v>
                        </c:pt>
                        <c:pt idx="39">
                          <c:v>17</c:v>
                        </c:pt>
                        <c:pt idx="40">
                          <c:v>18</c:v>
                        </c:pt>
                        <c:pt idx="41">
                          <c:v>18</c:v>
                        </c:pt>
                        <c:pt idx="42">
                          <c:v>18</c:v>
                        </c:pt>
                        <c:pt idx="43">
                          <c:v>19</c:v>
                        </c:pt>
                        <c:pt idx="44">
                          <c:v>20</c:v>
                        </c:pt>
                        <c:pt idx="45">
                          <c:v>20</c:v>
                        </c:pt>
                        <c:pt idx="46">
                          <c:v>25</c:v>
                        </c:pt>
                        <c:pt idx="47">
                          <c:v>25</c:v>
                        </c:pt>
                        <c:pt idx="48">
                          <c:v>27</c:v>
                        </c:pt>
                        <c:pt idx="49">
                          <c:v>28</c:v>
                        </c:pt>
                        <c:pt idx="50">
                          <c:v>29</c:v>
                        </c:pt>
                        <c:pt idx="51">
                          <c:v>29</c:v>
                        </c:pt>
                        <c:pt idx="52">
                          <c:v>29</c:v>
                        </c:pt>
                        <c:pt idx="53">
                          <c:v>30</c:v>
                        </c:pt>
                        <c:pt idx="54">
                          <c:v>31</c:v>
                        </c:pt>
                        <c:pt idx="55">
                          <c:v>31</c:v>
                        </c:pt>
                        <c:pt idx="56">
                          <c:v>01</c:v>
                        </c:pt>
                        <c:pt idx="57">
                          <c:v>02</c:v>
                        </c:pt>
                        <c:pt idx="58">
                          <c:v>04</c:v>
                        </c:pt>
                        <c:pt idx="59">
                          <c:v>05</c:v>
                        </c:pt>
                        <c:pt idx="60">
                          <c:v>05</c:v>
                        </c:pt>
                        <c:pt idx="61">
                          <c:v>06</c:v>
                        </c:pt>
                        <c:pt idx="62">
                          <c:v>06</c:v>
                        </c:pt>
                        <c:pt idx="63">
                          <c:v>07</c:v>
                        </c:pt>
                        <c:pt idx="64">
                          <c:v>07</c:v>
                        </c:pt>
                        <c:pt idx="65">
                          <c:v>08</c:v>
                        </c:pt>
                        <c:pt idx="66">
                          <c:v>08</c:v>
                        </c:pt>
                        <c:pt idx="67">
                          <c:v>09</c:v>
                        </c:pt>
                        <c:pt idx="68">
                          <c:v>09</c:v>
                        </c:pt>
                        <c:pt idx="69">
                          <c:v>09</c:v>
                        </c:pt>
                        <c:pt idx="70">
                          <c:v>10</c:v>
                        </c:pt>
                        <c:pt idx="71">
                          <c:v>11</c:v>
                        </c:pt>
                        <c:pt idx="72">
                          <c:v>13</c:v>
                        </c:pt>
                        <c:pt idx="73">
                          <c:v>14</c:v>
                        </c:pt>
                        <c:pt idx="74">
                          <c:v>14</c:v>
                        </c:pt>
                        <c:pt idx="75">
                          <c:v>14</c:v>
                        </c:pt>
                        <c:pt idx="76">
                          <c:v>14</c:v>
                        </c:pt>
                        <c:pt idx="77">
                          <c:v>15</c:v>
                        </c:pt>
                        <c:pt idx="78">
                          <c:v>16</c:v>
                        </c:pt>
                        <c:pt idx="79">
                          <c:v>17</c:v>
                        </c:pt>
                        <c:pt idx="80">
                          <c:v>18</c:v>
                        </c:pt>
                        <c:pt idx="81">
                          <c:v>19</c:v>
                        </c:pt>
                        <c:pt idx="82">
                          <c:v>19</c:v>
                        </c:pt>
                        <c:pt idx="83">
                          <c:v>20</c:v>
                        </c:pt>
                        <c:pt idx="84">
                          <c:v>21</c:v>
                        </c:pt>
                        <c:pt idx="85">
                          <c:v>22</c:v>
                        </c:pt>
                        <c:pt idx="86">
                          <c:v>23</c:v>
                        </c:pt>
                        <c:pt idx="87">
                          <c:v>23</c:v>
                        </c:pt>
                        <c:pt idx="88">
                          <c:v>23</c:v>
                        </c:pt>
                        <c:pt idx="89">
                          <c:v>24</c:v>
                        </c:pt>
                        <c:pt idx="90">
                          <c:v>24</c:v>
                        </c:pt>
                        <c:pt idx="91">
                          <c:v>25</c:v>
                        </c:pt>
                        <c:pt idx="92">
                          <c:v>25</c:v>
                        </c:pt>
                        <c:pt idx="93">
                          <c:v>26</c:v>
                        </c:pt>
                        <c:pt idx="94">
                          <c:v>27</c:v>
                        </c:pt>
                        <c:pt idx="95">
                          <c:v>27</c:v>
                        </c:pt>
                        <c:pt idx="96">
                          <c:v>28</c:v>
                        </c:pt>
                        <c:pt idx="97">
                          <c:v>29</c:v>
                        </c:pt>
                        <c:pt idx="98">
                          <c:v>29</c:v>
                        </c:pt>
                        <c:pt idx="99">
                          <c:v>01</c:v>
                        </c:pt>
                        <c:pt idx="100">
                          <c:v>02</c:v>
                        </c:pt>
                        <c:pt idx="101">
                          <c:v>03</c:v>
                        </c:pt>
                        <c:pt idx="102">
                          <c:v>03</c:v>
                        </c:pt>
                        <c:pt idx="103">
                          <c:v>03</c:v>
                        </c:pt>
                        <c:pt idx="104">
                          <c:v>03</c:v>
                        </c:pt>
                        <c:pt idx="105">
                          <c:v>03</c:v>
                        </c:pt>
                        <c:pt idx="106">
                          <c:v>03</c:v>
                        </c:pt>
                        <c:pt idx="107">
                          <c:v>03</c:v>
                        </c:pt>
                        <c:pt idx="108">
                          <c:v>04</c:v>
                        </c:pt>
                        <c:pt idx="109">
                          <c:v>05</c:v>
                        </c:pt>
                        <c:pt idx="110">
                          <c:v>05</c:v>
                        </c:pt>
                        <c:pt idx="111">
                          <c:v>05</c:v>
                        </c:pt>
                        <c:pt idx="112">
                          <c:v>06</c:v>
                        </c:pt>
                        <c:pt idx="113">
                          <c:v>07</c:v>
                        </c:pt>
                        <c:pt idx="114">
                          <c:v>08</c:v>
                        </c:pt>
                        <c:pt idx="115">
                          <c:v>08</c:v>
                        </c:pt>
                        <c:pt idx="116">
                          <c:v>09</c:v>
                        </c:pt>
                        <c:pt idx="117">
                          <c:v>10</c:v>
                        </c:pt>
                        <c:pt idx="118">
                          <c:v>10</c:v>
                        </c:pt>
                        <c:pt idx="119">
                          <c:v>11</c:v>
                        </c:pt>
                        <c:pt idx="120">
                          <c:v>12</c:v>
                        </c:pt>
                        <c:pt idx="121">
                          <c:v>12</c:v>
                        </c:pt>
                        <c:pt idx="122">
                          <c:v>13</c:v>
                        </c:pt>
                        <c:pt idx="123">
                          <c:v>13</c:v>
                        </c:pt>
                        <c:pt idx="124">
                          <c:v>14</c:v>
                        </c:pt>
                        <c:pt idx="125">
                          <c:v>14</c:v>
                        </c:pt>
                        <c:pt idx="126">
                          <c:v>15</c:v>
                        </c:pt>
                        <c:pt idx="127">
                          <c:v>16</c:v>
                        </c:pt>
                        <c:pt idx="128">
                          <c:v>17</c:v>
                        </c:pt>
                        <c:pt idx="129">
                          <c:v>18</c:v>
                        </c:pt>
                        <c:pt idx="130">
                          <c:v>19</c:v>
                        </c:pt>
                        <c:pt idx="131">
                          <c:v>19</c:v>
                        </c:pt>
                        <c:pt idx="132">
                          <c:v>20</c:v>
                        </c:pt>
                        <c:pt idx="133">
                          <c:v>20</c:v>
                        </c:pt>
                        <c:pt idx="134">
                          <c:v>21</c:v>
                        </c:pt>
                        <c:pt idx="135">
                          <c:v>21</c:v>
                        </c:pt>
                      </c:lvl>
                    </c:multiLvlStrCache>
                  </c:multiLvlStrRef>
                </c:cat>
                <c:val>
                  <c:numRef>
                    <c:extLst>
                      <c:ext uri="{02D57815-91ED-43cb-92C2-25804820EDAC}">
                        <c15:formulaRef>
                          <c15:sqref>Report!$K$2:$K$136</c15:sqref>
                        </c15:formulaRef>
                      </c:ext>
                    </c:extLst>
                    <c:numCache>
                      <c:formatCode>_("₹"* #,##0_);_("₹"* \(#,##0\);_("₹"* "-"_);_(@_)</c:formatCode>
                      <c:ptCount val="135"/>
                      <c:pt idx="0">
                        <c:v>25348</c:v>
                      </c:pt>
                      <c:pt idx="1">
                        <c:v>25348</c:v>
                      </c:pt>
                      <c:pt idx="2">
                        <c:v>25144</c:v>
                      </c:pt>
                      <c:pt idx="3">
                        <c:v>24925</c:v>
                      </c:pt>
                      <c:pt idx="4">
                        <c:v>23897</c:v>
                      </c:pt>
                      <c:pt idx="5">
                        <c:v>23897</c:v>
                      </c:pt>
                      <c:pt idx="6">
                        <c:v>21905</c:v>
                      </c:pt>
                      <c:pt idx="7">
                        <c:v>21905</c:v>
                      </c:pt>
                      <c:pt idx="8">
                        <c:v>21905</c:v>
                      </c:pt>
                      <c:pt idx="9">
                        <c:v>21905</c:v>
                      </c:pt>
                      <c:pt idx="10">
                        <c:v>21905</c:v>
                      </c:pt>
                      <c:pt idx="11">
                        <c:v>19405</c:v>
                      </c:pt>
                      <c:pt idx="12">
                        <c:v>19405</c:v>
                      </c:pt>
                      <c:pt idx="13">
                        <c:v>17443</c:v>
                      </c:pt>
                      <c:pt idx="14">
                        <c:v>17443</c:v>
                      </c:pt>
                      <c:pt idx="15">
                        <c:v>17443</c:v>
                      </c:pt>
                      <c:pt idx="16">
                        <c:v>17443</c:v>
                      </c:pt>
                      <c:pt idx="17">
                        <c:v>17443</c:v>
                      </c:pt>
                      <c:pt idx="18">
                        <c:v>17443</c:v>
                      </c:pt>
                      <c:pt idx="19">
                        <c:v>17443</c:v>
                      </c:pt>
                      <c:pt idx="20">
                        <c:v>16743</c:v>
                      </c:pt>
                      <c:pt idx="21">
                        <c:v>16743</c:v>
                      </c:pt>
                      <c:pt idx="22">
                        <c:v>16743</c:v>
                      </c:pt>
                      <c:pt idx="23">
                        <c:v>13243</c:v>
                      </c:pt>
                      <c:pt idx="24">
                        <c:v>13243</c:v>
                      </c:pt>
                      <c:pt idx="25">
                        <c:v>11258</c:v>
                      </c:pt>
                      <c:pt idx="26">
                        <c:v>11258</c:v>
                      </c:pt>
                      <c:pt idx="27">
                        <c:v>11258</c:v>
                      </c:pt>
                      <c:pt idx="28">
                        <c:v>11248</c:v>
                      </c:pt>
                      <c:pt idx="29">
                        <c:v>11248</c:v>
                      </c:pt>
                      <c:pt idx="30">
                        <c:v>11248</c:v>
                      </c:pt>
                      <c:pt idx="31">
                        <c:v>11248</c:v>
                      </c:pt>
                      <c:pt idx="32">
                        <c:v>11248</c:v>
                      </c:pt>
                      <c:pt idx="33">
                        <c:v>11248</c:v>
                      </c:pt>
                      <c:pt idx="34">
                        <c:v>9305</c:v>
                      </c:pt>
                      <c:pt idx="35">
                        <c:v>9305</c:v>
                      </c:pt>
                      <c:pt idx="36">
                        <c:v>9305</c:v>
                      </c:pt>
                      <c:pt idx="37">
                        <c:v>9305</c:v>
                      </c:pt>
                      <c:pt idx="38">
                        <c:v>9305</c:v>
                      </c:pt>
                      <c:pt idx="39">
                        <c:v>8360</c:v>
                      </c:pt>
                      <c:pt idx="40">
                        <c:v>8360</c:v>
                      </c:pt>
                      <c:pt idx="41">
                        <c:v>8360</c:v>
                      </c:pt>
                      <c:pt idx="42">
                        <c:v>8360</c:v>
                      </c:pt>
                      <c:pt idx="43">
                        <c:v>8360</c:v>
                      </c:pt>
                      <c:pt idx="44">
                        <c:v>360</c:v>
                      </c:pt>
                      <c:pt idx="45">
                        <c:v>360</c:v>
                      </c:pt>
                      <c:pt idx="46">
                        <c:v>26744</c:v>
                      </c:pt>
                      <c:pt idx="47">
                        <c:v>26744</c:v>
                      </c:pt>
                      <c:pt idx="48">
                        <c:v>26744</c:v>
                      </c:pt>
                      <c:pt idx="49">
                        <c:v>26544</c:v>
                      </c:pt>
                      <c:pt idx="50">
                        <c:v>26544</c:v>
                      </c:pt>
                      <c:pt idx="51">
                        <c:v>25734</c:v>
                      </c:pt>
                      <c:pt idx="52">
                        <c:v>25574</c:v>
                      </c:pt>
                      <c:pt idx="53">
                        <c:v>25444</c:v>
                      </c:pt>
                      <c:pt idx="54">
                        <c:v>25444</c:v>
                      </c:pt>
                      <c:pt idx="55">
                        <c:v>25134</c:v>
                      </c:pt>
                      <c:pt idx="56">
                        <c:v>24920</c:v>
                      </c:pt>
                      <c:pt idx="57">
                        <c:v>24870</c:v>
                      </c:pt>
                      <c:pt idx="58">
                        <c:v>24775</c:v>
                      </c:pt>
                      <c:pt idx="59">
                        <c:v>24275</c:v>
                      </c:pt>
                      <c:pt idx="60">
                        <c:v>24255</c:v>
                      </c:pt>
                      <c:pt idx="61">
                        <c:v>24035</c:v>
                      </c:pt>
                      <c:pt idx="62">
                        <c:v>24035</c:v>
                      </c:pt>
                      <c:pt idx="63">
                        <c:v>22043</c:v>
                      </c:pt>
                      <c:pt idx="64">
                        <c:v>22043</c:v>
                      </c:pt>
                      <c:pt idx="65">
                        <c:v>22043</c:v>
                      </c:pt>
                      <c:pt idx="66">
                        <c:v>22043</c:v>
                      </c:pt>
                      <c:pt idx="67">
                        <c:v>18543</c:v>
                      </c:pt>
                      <c:pt idx="68">
                        <c:v>18543</c:v>
                      </c:pt>
                      <c:pt idx="69">
                        <c:v>18543</c:v>
                      </c:pt>
                      <c:pt idx="70">
                        <c:v>17843</c:v>
                      </c:pt>
                      <c:pt idx="71">
                        <c:v>17843</c:v>
                      </c:pt>
                      <c:pt idx="72">
                        <c:v>15946</c:v>
                      </c:pt>
                      <c:pt idx="73">
                        <c:v>15946</c:v>
                      </c:pt>
                      <c:pt idx="74">
                        <c:v>15946</c:v>
                      </c:pt>
                      <c:pt idx="75">
                        <c:v>15946</c:v>
                      </c:pt>
                      <c:pt idx="76">
                        <c:v>15946</c:v>
                      </c:pt>
                      <c:pt idx="77">
                        <c:v>15946</c:v>
                      </c:pt>
                      <c:pt idx="78">
                        <c:v>15946</c:v>
                      </c:pt>
                      <c:pt idx="79">
                        <c:v>15946</c:v>
                      </c:pt>
                      <c:pt idx="80">
                        <c:v>15946</c:v>
                      </c:pt>
                      <c:pt idx="81">
                        <c:v>14999</c:v>
                      </c:pt>
                      <c:pt idx="82">
                        <c:v>14999</c:v>
                      </c:pt>
                      <c:pt idx="83">
                        <c:v>14999</c:v>
                      </c:pt>
                      <c:pt idx="84">
                        <c:v>14999</c:v>
                      </c:pt>
                      <c:pt idx="85">
                        <c:v>14999</c:v>
                      </c:pt>
                      <c:pt idx="86">
                        <c:v>14999</c:v>
                      </c:pt>
                      <c:pt idx="87">
                        <c:v>13064</c:v>
                      </c:pt>
                      <c:pt idx="88">
                        <c:v>13064</c:v>
                      </c:pt>
                      <c:pt idx="89">
                        <c:v>13064</c:v>
                      </c:pt>
                      <c:pt idx="90">
                        <c:v>13064</c:v>
                      </c:pt>
                      <c:pt idx="91">
                        <c:v>37841</c:v>
                      </c:pt>
                      <c:pt idx="92">
                        <c:v>37841</c:v>
                      </c:pt>
                      <c:pt idx="93">
                        <c:v>37841</c:v>
                      </c:pt>
                      <c:pt idx="94">
                        <c:v>37841</c:v>
                      </c:pt>
                      <c:pt idx="95">
                        <c:v>37841</c:v>
                      </c:pt>
                      <c:pt idx="96">
                        <c:v>37649</c:v>
                      </c:pt>
                      <c:pt idx="97">
                        <c:v>37649</c:v>
                      </c:pt>
                      <c:pt idx="98">
                        <c:v>37649</c:v>
                      </c:pt>
                      <c:pt idx="99">
                        <c:v>37649</c:v>
                      </c:pt>
                      <c:pt idx="100">
                        <c:v>36550</c:v>
                      </c:pt>
                      <c:pt idx="101">
                        <c:v>36550</c:v>
                      </c:pt>
                      <c:pt idx="102">
                        <c:v>34701</c:v>
                      </c:pt>
                      <c:pt idx="103">
                        <c:v>34701</c:v>
                      </c:pt>
                      <c:pt idx="104">
                        <c:v>34701</c:v>
                      </c:pt>
                      <c:pt idx="105">
                        <c:v>34701</c:v>
                      </c:pt>
                      <c:pt idx="106">
                        <c:v>12201</c:v>
                      </c:pt>
                      <c:pt idx="107">
                        <c:v>12201</c:v>
                      </c:pt>
                      <c:pt idx="108">
                        <c:v>12201</c:v>
                      </c:pt>
                      <c:pt idx="109">
                        <c:v>12201</c:v>
                      </c:pt>
                      <c:pt idx="110">
                        <c:v>12201</c:v>
                      </c:pt>
                      <c:pt idx="111">
                        <c:v>12201</c:v>
                      </c:pt>
                      <c:pt idx="112">
                        <c:v>12201</c:v>
                      </c:pt>
                      <c:pt idx="113">
                        <c:v>12201</c:v>
                      </c:pt>
                      <c:pt idx="114">
                        <c:v>8701</c:v>
                      </c:pt>
                      <c:pt idx="115">
                        <c:v>8701</c:v>
                      </c:pt>
                      <c:pt idx="116">
                        <c:v>8701</c:v>
                      </c:pt>
                      <c:pt idx="117">
                        <c:v>6741</c:v>
                      </c:pt>
                      <c:pt idx="118">
                        <c:v>6741</c:v>
                      </c:pt>
                      <c:pt idx="119">
                        <c:v>6741</c:v>
                      </c:pt>
                      <c:pt idx="120">
                        <c:v>6741</c:v>
                      </c:pt>
                      <c:pt idx="121">
                        <c:v>6741</c:v>
                      </c:pt>
                      <c:pt idx="122">
                        <c:v>6741</c:v>
                      </c:pt>
                      <c:pt idx="123">
                        <c:v>6741</c:v>
                      </c:pt>
                      <c:pt idx="124">
                        <c:v>6741</c:v>
                      </c:pt>
                      <c:pt idx="125">
                        <c:v>6741</c:v>
                      </c:pt>
                      <c:pt idx="126">
                        <c:v>6741</c:v>
                      </c:pt>
                      <c:pt idx="127">
                        <c:v>6741</c:v>
                      </c:pt>
                      <c:pt idx="128">
                        <c:v>6741</c:v>
                      </c:pt>
                      <c:pt idx="129">
                        <c:v>6741</c:v>
                      </c:pt>
                      <c:pt idx="130">
                        <c:v>6741</c:v>
                      </c:pt>
                      <c:pt idx="131">
                        <c:v>6741</c:v>
                      </c:pt>
                      <c:pt idx="132">
                        <c:v>6741</c:v>
                      </c:pt>
                      <c:pt idx="133">
                        <c:v>4774</c:v>
                      </c:pt>
                      <c:pt idx="134">
                        <c:v>4774</c:v>
                      </c:pt>
                    </c:numCache>
                  </c:numRef>
                </c:val>
                <c:smooth val="0"/>
                <c:extLst>
                  <c:ext xmlns:c16="http://schemas.microsoft.com/office/drawing/2014/chart" uri="{C3380CC4-5D6E-409C-BE32-E72D297353CC}">
                    <c16:uniqueId val="{00000001-6DFA-44C8-BD9D-A34DAA0D0D02}"/>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Report!$L$1</c15:sqref>
                        </c15:formulaRef>
                      </c:ext>
                    </c:extLst>
                    <c:strCache>
                      <c:ptCount val="1"/>
                      <c:pt idx="0">
                        <c:v> SBI </c:v>
                      </c:pt>
                    </c:strCache>
                  </c:strRef>
                </c:tx>
                <c:spPr>
                  <a:ln w="28575" cap="rnd">
                    <a:solidFill>
                      <a:schemeClr val="accent5"/>
                    </a:solidFill>
                    <a:round/>
                  </a:ln>
                  <a:effectLst/>
                </c:spPr>
                <c:marker>
                  <c:symbol val="none"/>
                </c:marker>
                <c:cat>
                  <c:multiLvlStrRef>
                    <c:extLst xmlns:c15="http://schemas.microsoft.com/office/drawing/2012/chart">
                      <c:ext xmlns:c15="http://schemas.microsoft.com/office/drawing/2012/chart" uri="{02D57815-91ED-43cb-92C2-25804820EDAC}">
                        <c15:formulaRef>
                          <c15:sqref>Report!$A:$B</c15:sqref>
                        </c15:formulaRef>
                      </c:ext>
                    </c:extLst>
                    <c:multiLvlStrCache>
                      <c:ptCount val="136"/>
                      <c:lvl>
                        <c:pt idx="0">
                          <c:v>Month</c:v>
                        </c:pt>
                        <c:pt idx="1">
                          <c:v>December</c:v>
                        </c:pt>
                        <c:pt idx="2">
                          <c:v>December</c:v>
                        </c:pt>
                        <c:pt idx="3">
                          <c:v>December</c:v>
                        </c:pt>
                        <c:pt idx="4">
                          <c:v>December</c:v>
                        </c:pt>
                        <c:pt idx="5">
                          <c:v>December</c:v>
                        </c:pt>
                        <c:pt idx="6">
                          <c:v>December</c:v>
                        </c:pt>
                        <c:pt idx="7">
                          <c:v>December</c:v>
                        </c:pt>
                        <c:pt idx="8">
                          <c:v>December</c:v>
                        </c:pt>
                        <c:pt idx="9">
                          <c:v>December</c:v>
                        </c:pt>
                        <c:pt idx="10">
                          <c:v>December</c:v>
                        </c:pt>
                        <c:pt idx="11">
                          <c:v>December</c:v>
                        </c:pt>
                        <c:pt idx="12">
                          <c:v>December</c:v>
                        </c:pt>
                        <c:pt idx="13">
                          <c:v>December</c:v>
                        </c:pt>
                        <c:pt idx="14">
                          <c:v>January</c:v>
                        </c:pt>
                        <c:pt idx="15">
                          <c:v>January</c:v>
                        </c:pt>
                        <c:pt idx="16">
                          <c:v>January</c:v>
                        </c:pt>
                        <c:pt idx="17">
                          <c:v>January</c:v>
                        </c:pt>
                        <c:pt idx="18">
                          <c:v>January</c:v>
                        </c:pt>
                        <c:pt idx="19">
                          <c:v>January</c:v>
                        </c:pt>
                        <c:pt idx="20">
                          <c:v>January</c:v>
                        </c:pt>
                        <c:pt idx="21">
                          <c:v>January</c:v>
                        </c:pt>
                        <c:pt idx="22">
                          <c:v>January</c:v>
                        </c:pt>
                        <c:pt idx="23">
                          <c:v>January</c:v>
                        </c:pt>
                        <c:pt idx="24">
                          <c:v>January</c:v>
                        </c:pt>
                        <c:pt idx="25">
                          <c:v>January</c:v>
                        </c:pt>
                        <c:pt idx="26">
                          <c:v>January</c:v>
                        </c:pt>
                        <c:pt idx="27">
                          <c:v>January</c:v>
                        </c:pt>
                        <c:pt idx="28">
                          <c:v>January</c:v>
                        </c:pt>
                        <c:pt idx="29">
                          <c:v>January</c:v>
                        </c:pt>
                        <c:pt idx="30">
                          <c:v>January</c:v>
                        </c:pt>
                        <c:pt idx="31">
                          <c:v>January</c:v>
                        </c:pt>
                        <c:pt idx="32">
                          <c:v>January</c:v>
                        </c:pt>
                        <c:pt idx="33">
                          <c:v>January</c:v>
                        </c:pt>
                        <c:pt idx="34">
                          <c:v>January</c:v>
                        </c:pt>
                        <c:pt idx="35">
                          <c:v>January</c:v>
                        </c:pt>
                        <c:pt idx="36">
                          <c:v>January</c:v>
                        </c:pt>
                        <c:pt idx="37">
                          <c:v>January</c:v>
                        </c:pt>
                        <c:pt idx="38">
                          <c:v>January</c:v>
                        </c:pt>
                        <c:pt idx="39">
                          <c:v>January</c:v>
                        </c:pt>
                        <c:pt idx="40">
                          <c:v>January</c:v>
                        </c:pt>
                        <c:pt idx="41">
                          <c:v>January</c:v>
                        </c:pt>
                        <c:pt idx="42">
                          <c:v>January</c:v>
                        </c:pt>
                        <c:pt idx="43">
                          <c:v>January</c:v>
                        </c:pt>
                        <c:pt idx="44">
                          <c:v>January</c:v>
                        </c:pt>
                        <c:pt idx="45">
                          <c:v>January</c:v>
                        </c:pt>
                        <c:pt idx="46">
                          <c:v>January</c:v>
                        </c:pt>
                        <c:pt idx="47">
                          <c:v>January</c:v>
                        </c:pt>
                        <c:pt idx="48">
                          <c:v>January</c:v>
                        </c:pt>
                        <c:pt idx="49">
                          <c:v>January</c:v>
                        </c:pt>
                        <c:pt idx="50">
                          <c:v>January</c:v>
                        </c:pt>
                        <c:pt idx="51">
                          <c:v>January</c:v>
                        </c:pt>
                        <c:pt idx="52">
                          <c:v>January</c:v>
                        </c:pt>
                        <c:pt idx="53">
                          <c:v>January</c:v>
                        </c:pt>
                        <c:pt idx="54">
                          <c:v>January</c:v>
                        </c:pt>
                        <c:pt idx="55">
                          <c:v>January</c:v>
                        </c:pt>
                        <c:pt idx="56">
                          <c:v>February</c:v>
                        </c:pt>
                        <c:pt idx="57">
                          <c:v>February</c:v>
                        </c:pt>
                        <c:pt idx="58">
                          <c:v>February</c:v>
                        </c:pt>
                        <c:pt idx="59">
                          <c:v>February</c:v>
                        </c:pt>
                        <c:pt idx="60">
                          <c:v>February</c:v>
                        </c:pt>
                        <c:pt idx="61">
                          <c:v>February</c:v>
                        </c:pt>
                        <c:pt idx="62">
                          <c:v>February</c:v>
                        </c:pt>
                        <c:pt idx="63">
                          <c:v>February</c:v>
                        </c:pt>
                        <c:pt idx="64">
                          <c:v>February</c:v>
                        </c:pt>
                        <c:pt idx="65">
                          <c:v>February</c:v>
                        </c:pt>
                        <c:pt idx="66">
                          <c:v>February</c:v>
                        </c:pt>
                        <c:pt idx="67">
                          <c:v>February</c:v>
                        </c:pt>
                        <c:pt idx="68">
                          <c:v>February</c:v>
                        </c:pt>
                        <c:pt idx="69">
                          <c:v>February</c:v>
                        </c:pt>
                        <c:pt idx="70">
                          <c:v>February</c:v>
                        </c:pt>
                        <c:pt idx="71">
                          <c:v>February</c:v>
                        </c:pt>
                        <c:pt idx="72">
                          <c:v>February</c:v>
                        </c:pt>
                        <c:pt idx="73">
                          <c:v>February</c:v>
                        </c:pt>
                        <c:pt idx="74">
                          <c:v>February</c:v>
                        </c:pt>
                        <c:pt idx="75">
                          <c:v>February</c:v>
                        </c:pt>
                        <c:pt idx="76">
                          <c:v>February</c:v>
                        </c:pt>
                        <c:pt idx="77">
                          <c:v>February</c:v>
                        </c:pt>
                        <c:pt idx="78">
                          <c:v>February</c:v>
                        </c:pt>
                        <c:pt idx="79">
                          <c:v>February</c:v>
                        </c:pt>
                        <c:pt idx="80">
                          <c:v>February</c:v>
                        </c:pt>
                        <c:pt idx="81">
                          <c:v>February</c:v>
                        </c:pt>
                        <c:pt idx="82">
                          <c:v>February</c:v>
                        </c:pt>
                        <c:pt idx="83">
                          <c:v>February</c:v>
                        </c:pt>
                        <c:pt idx="84">
                          <c:v>February</c:v>
                        </c:pt>
                        <c:pt idx="85">
                          <c:v>February</c:v>
                        </c:pt>
                        <c:pt idx="86">
                          <c:v>February</c:v>
                        </c:pt>
                        <c:pt idx="87">
                          <c:v>February</c:v>
                        </c:pt>
                        <c:pt idx="88">
                          <c:v>February</c:v>
                        </c:pt>
                        <c:pt idx="89">
                          <c:v>February</c:v>
                        </c:pt>
                        <c:pt idx="90">
                          <c:v>February</c:v>
                        </c:pt>
                        <c:pt idx="91">
                          <c:v>February</c:v>
                        </c:pt>
                        <c:pt idx="92">
                          <c:v>February</c:v>
                        </c:pt>
                        <c:pt idx="93">
                          <c:v>February</c:v>
                        </c:pt>
                        <c:pt idx="94">
                          <c:v>February</c:v>
                        </c:pt>
                        <c:pt idx="95">
                          <c:v>February</c:v>
                        </c:pt>
                        <c:pt idx="96">
                          <c:v>February</c:v>
                        </c:pt>
                        <c:pt idx="97">
                          <c:v>February</c:v>
                        </c:pt>
                        <c:pt idx="98">
                          <c:v>February</c:v>
                        </c:pt>
                        <c:pt idx="99">
                          <c:v>March</c:v>
                        </c:pt>
                        <c:pt idx="100">
                          <c:v>March</c:v>
                        </c:pt>
                        <c:pt idx="101">
                          <c:v>March</c:v>
                        </c:pt>
                        <c:pt idx="102">
                          <c:v>March</c:v>
                        </c:pt>
                        <c:pt idx="103">
                          <c:v>March</c:v>
                        </c:pt>
                        <c:pt idx="104">
                          <c:v>March</c:v>
                        </c:pt>
                        <c:pt idx="105">
                          <c:v>March</c:v>
                        </c:pt>
                        <c:pt idx="106">
                          <c:v>March</c:v>
                        </c:pt>
                        <c:pt idx="107">
                          <c:v>March</c:v>
                        </c:pt>
                        <c:pt idx="108">
                          <c:v>March</c:v>
                        </c:pt>
                        <c:pt idx="109">
                          <c:v>March</c:v>
                        </c:pt>
                        <c:pt idx="110">
                          <c:v>March</c:v>
                        </c:pt>
                        <c:pt idx="111">
                          <c:v>March</c:v>
                        </c:pt>
                        <c:pt idx="112">
                          <c:v>March</c:v>
                        </c:pt>
                        <c:pt idx="113">
                          <c:v>March</c:v>
                        </c:pt>
                        <c:pt idx="114">
                          <c:v>March</c:v>
                        </c:pt>
                        <c:pt idx="115">
                          <c:v>March</c:v>
                        </c:pt>
                        <c:pt idx="116">
                          <c:v>March</c:v>
                        </c:pt>
                        <c:pt idx="117">
                          <c:v>March</c:v>
                        </c:pt>
                        <c:pt idx="118">
                          <c:v>March</c:v>
                        </c:pt>
                        <c:pt idx="119">
                          <c:v>March</c:v>
                        </c:pt>
                        <c:pt idx="120">
                          <c:v>March</c:v>
                        </c:pt>
                        <c:pt idx="121">
                          <c:v>March</c:v>
                        </c:pt>
                        <c:pt idx="122">
                          <c:v>March</c:v>
                        </c:pt>
                        <c:pt idx="123">
                          <c:v>March</c:v>
                        </c:pt>
                        <c:pt idx="124">
                          <c:v>March</c:v>
                        </c:pt>
                        <c:pt idx="125">
                          <c:v>March</c:v>
                        </c:pt>
                        <c:pt idx="126">
                          <c:v>March</c:v>
                        </c:pt>
                        <c:pt idx="127">
                          <c:v>March</c:v>
                        </c:pt>
                        <c:pt idx="128">
                          <c:v>March</c:v>
                        </c:pt>
                        <c:pt idx="129">
                          <c:v>March</c:v>
                        </c:pt>
                        <c:pt idx="130">
                          <c:v>March</c:v>
                        </c:pt>
                        <c:pt idx="131">
                          <c:v>March</c:v>
                        </c:pt>
                        <c:pt idx="132">
                          <c:v>March</c:v>
                        </c:pt>
                        <c:pt idx="133">
                          <c:v>March</c:v>
                        </c:pt>
                        <c:pt idx="134">
                          <c:v>March</c:v>
                        </c:pt>
                        <c:pt idx="135">
                          <c:v>March</c:v>
                        </c:pt>
                      </c:lvl>
                      <c:lvl>
                        <c:pt idx="0">
                          <c:v>Date</c:v>
                        </c:pt>
                        <c:pt idx="1">
                          <c:v>23</c:v>
                        </c:pt>
                        <c:pt idx="2">
                          <c:v>24</c:v>
                        </c:pt>
                        <c:pt idx="3">
                          <c:v>24</c:v>
                        </c:pt>
                        <c:pt idx="4">
                          <c:v>25</c:v>
                        </c:pt>
                        <c:pt idx="5">
                          <c:v>25</c:v>
                        </c:pt>
                        <c:pt idx="6">
                          <c:v>26</c:v>
                        </c:pt>
                        <c:pt idx="7">
                          <c:v>26</c:v>
                        </c:pt>
                        <c:pt idx="8">
                          <c:v>27</c:v>
                        </c:pt>
                        <c:pt idx="9">
                          <c:v>28</c:v>
                        </c:pt>
                        <c:pt idx="10">
                          <c:v>29</c:v>
                        </c:pt>
                        <c:pt idx="11">
                          <c:v>30</c:v>
                        </c:pt>
                        <c:pt idx="12">
                          <c:v>30</c:v>
                        </c:pt>
                        <c:pt idx="13">
                          <c:v>31</c:v>
                        </c:pt>
                        <c:pt idx="14">
                          <c:v>01</c:v>
                        </c:pt>
                        <c:pt idx="15">
                          <c:v>01</c:v>
                        </c:pt>
                        <c:pt idx="16">
                          <c:v>02</c:v>
                        </c:pt>
                        <c:pt idx="17">
                          <c:v>03</c:v>
                        </c:pt>
                        <c:pt idx="18">
                          <c:v>04</c:v>
                        </c:pt>
                        <c:pt idx="19">
                          <c:v>05</c:v>
                        </c:pt>
                        <c:pt idx="20">
                          <c:v>06</c:v>
                        </c:pt>
                        <c:pt idx="21">
                          <c:v>06</c:v>
                        </c:pt>
                        <c:pt idx="22">
                          <c:v>07</c:v>
                        </c:pt>
                        <c:pt idx="23">
                          <c:v>08</c:v>
                        </c:pt>
                        <c:pt idx="24">
                          <c:v>09</c:v>
                        </c:pt>
                        <c:pt idx="25">
                          <c:v>09</c:v>
                        </c:pt>
                        <c:pt idx="26">
                          <c:v>09</c:v>
                        </c:pt>
                        <c:pt idx="27">
                          <c:v>10</c:v>
                        </c:pt>
                        <c:pt idx="28">
                          <c:v>11</c:v>
                        </c:pt>
                        <c:pt idx="29">
                          <c:v>12</c:v>
                        </c:pt>
                        <c:pt idx="30">
                          <c:v>12</c:v>
                        </c:pt>
                        <c:pt idx="31">
                          <c:v>13</c:v>
                        </c:pt>
                        <c:pt idx="32">
                          <c:v>13</c:v>
                        </c:pt>
                        <c:pt idx="33">
                          <c:v>14</c:v>
                        </c:pt>
                        <c:pt idx="34">
                          <c:v>15</c:v>
                        </c:pt>
                        <c:pt idx="35">
                          <c:v>15</c:v>
                        </c:pt>
                        <c:pt idx="36">
                          <c:v>15</c:v>
                        </c:pt>
                        <c:pt idx="37">
                          <c:v>16</c:v>
                        </c:pt>
                        <c:pt idx="38">
                          <c:v>17</c:v>
                        </c:pt>
                        <c:pt idx="39">
                          <c:v>17</c:v>
                        </c:pt>
                        <c:pt idx="40">
                          <c:v>18</c:v>
                        </c:pt>
                        <c:pt idx="41">
                          <c:v>18</c:v>
                        </c:pt>
                        <c:pt idx="42">
                          <c:v>18</c:v>
                        </c:pt>
                        <c:pt idx="43">
                          <c:v>19</c:v>
                        </c:pt>
                        <c:pt idx="44">
                          <c:v>20</c:v>
                        </c:pt>
                        <c:pt idx="45">
                          <c:v>20</c:v>
                        </c:pt>
                        <c:pt idx="46">
                          <c:v>25</c:v>
                        </c:pt>
                        <c:pt idx="47">
                          <c:v>25</c:v>
                        </c:pt>
                        <c:pt idx="48">
                          <c:v>27</c:v>
                        </c:pt>
                        <c:pt idx="49">
                          <c:v>28</c:v>
                        </c:pt>
                        <c:pt idx="50">
                          <c:v>29</c:v>
                        </c:pt>
                        <c:pt idx="51">
                          <c:v>29</c:v>
                        </c:pt>
                        <c:pt idx="52">
                          <c:v>29</c:v>
                        </c:pt>
                        <c:pt idx="53">
                          <c:v>30</c:v>
                        </c:pt>
                        <c:pt idx="54">
                          <c:v>31</c:v>
                        </c:pt>
                        <c:pt idx="55">
                          <c:v>31</c:v>
                        </c:pt>
                        <c:pt idx="56">
                          <c:v>01</c:v>
                        </c:pt>
                        <c:pt idx="57">
                          <c:v>02</c:v>
                        </c:pt>
                        <c:pt idx="58">
                          <c:v>04</c:v>
                        </c:pt>
                        <c:pt idx="59">
                          <c:v>05</c:v>
                        </c:pt>
                        <c:pt idx="60">
                          <c:v>05</c:v>
                        </c:pt>
                        <c:pt idx="61">
                          <c:v>06</c:v>
                        </c:pt>
                        <c:pt idx="62">
                          <c:v>06</c:v>
                        </c:pt>
                        <c:pt idx="63">
                          <c:v>07</c:v>
                        </c:pt>
                        <c:pt idx="64">
                          <c:v>07</c:v>
                        </c:pt>
                        <c:pt idx="65">
                          <c:v>08</c:v>
                        </c:pt>
                        <c:pt idx="66">
                          <c:v>08</c:v>
                        </c:pt>
                        <c:pt idx="67">
                          <c:v>09</c:v>
                        </c:pt>
                        <c:pt idx="68">
                          <c:v>09</c:v>
                        </c:pt>
                        <c:pt idx="69">
                          <c:v>09</c:v>
                        </c:pt>
                        <c:pt idx="70">
                          <c:v>10</c:v>
                        </c:pt>
                        <c:pt idx="71">
                          <c:v>11</c:v>
                        </c:pt>
                        <c:pt idx="72">
                          <c:v>13</c:v>
                        </c:pt>
                        <c:pt idx="73">
                          <c:v>14</c:v>
                        </c:pt>
                        <c:pt idx="74">
                          <c:v>14</c:v>
                        </c:pt>
                        <c:pt idx="75">
                          <c:v>14</c:v>
                        </c:pt>
                        <c:pt idx="76">
                          <c:v>14</c:v>
                        </c:pt>
                        <c:pt idx="77">
                          <c:v>15</c:v>
                        </c:pt>
                        <c:pt idx="78">
                          <c:v>16</c:v>
                        </c:pt>
                        <c:pt idx="79">
                          <c:v>17</c:v>
                        </c:pt>
                        <c:pt idx="80">
                          <c:v>18</c:v>
                        </c:pt>
                        <c:pt idx="81">
                          <c:v>19</c:v>
                        </c:pt>
                        <c:pt idx="82">
                          <c:v>19</c:v>
                        </c:pt>
                        <c:pt idx="83">
                          <c:v>20</c:v>
                        </c:pt>
                        <c:pt idx="84">
                          <c:v>21</c:v>
                        </c:pt>
                        <c:pt idx="85">
                          <c:v>22</c:v>
                        </c:pt>
                        <c:pt idx="86">
                          <c:v>23</c:v>
                        </c:pt>
                        <c:pt idx="87">
                          <c:v>23</c:v>
                        </c:pt>
                        <c:pt idx="88">
                          <c:v>23</c:v>
                        </c:pt>
                        <c:pt idx="89">
                          <c:v>24</c:v>
                        </c:pt>
                        <c:pt idx="90">
                          <c:v>24</c:v>
                        </c:pt>
                        <c:pt idx="91">
                          <c:v>25</c:v>
                        </c:pt>
                        <c:pt idx="92">
                          <c:v>25</c:v>
                        </c:pt>
                        <c:pt idx="93">
                          <c:v>26</c:v>
                        </c:pt>
                        <c:pt idx="94">
                          <c:v>27</c:v>
                        </c:pt>
                        <c:pt idx="95">
                          <c:v>27</c:v>
                        </c:pt>
                        <c:pt idx="96">
                          <c:v>28</c:v>
                        </c:pt>
                        <c:pt idx="97">
                          <c:v>29</c:v>
                        </c:pt>
                        <c:pt idx="98">
                          <c:v>29</c:v>
                        </c:pt>
                        <c:pt idx="99">
                          <c:v>01</c:v>
                        </c:pt>
                        <c:pt idx="100">
                          <c:v>02</c:v>
                        </c:pt>
                        <c:pt idx="101">
                          <c:v>03</c:v>
                        </c:pt>
                        <c:pt idx="102">
                          <c:v>03</c:v>
                        </c:pt>
                        <c:pt idx="103">
                          <c:v>03</c:v>
                        </c:pt>
                        <c:pt idx="104">
                          <c:v>03</c:v>
                        </c:pt>
                        <c:pt idx="105">
                          <c:v>03</c:v>
                        </c:pt>
                        <c:pt idx="106">
                          <c:v>03</c:v>
                        </c:pt>
                        <c:pt idx="107">
                          <c:v>03</c:v>
                        </c:pt>
                        <c:pt idx="108">
                          <c:v>04</c:v>
                        </c:pt>
                        <c:pt idx="109">
                          <c:v>05</c:v>
                        </c:pt>
                        <c:pt idx="110">
                          <c:v>05</c:v>
                        </c:pt>
                        <c:pt idx="111">
                          <c:v>05</c:v>
                        </c:pt>
                        <c:pt idx="112">
                          <c:v>06</c:v>
                        </c:pt>
                        <c:pt idx="113">
                          <c:v>07</c:v>
                        </c:pt>
                        <c:pt idx="114">
                          <c:v>08</c:v>
                        </c:pt>
                        <c:pt idx="115">
                          <c:v>08</c:v>
                        </c:pt>
                        <c:pt idx="116">
                          <c:v>09</c:v>
                        </c:pt>
                        <c:pt idx="117">
                          <c:v>10</c:v>
                        </c:pt>
                        <c:pt idx="118">
                          <c:v>10</c:v>
                        </c:pt>
                        <c:pt idx="119">
                          <c:v>11</c:v>
                        </c:pt>
                        <c:pt idx="120">
                          <c:v>12</c:v>
                        </c:pt>
                        <c:pt idx="121">
                          <c:v>12</c:v>
                        </c:pt>
                        <c:pt idx="122">
                          <c:v>13</c:v>
                        </c:pt>
                        <c:pt idx="123">
                          <c:v>13</c:v>
                        </c:pt>
                        <c:pt idx="124">
                          <c:v>14</c:v>
                        </c:pt>
                        <c:pt idx="125">
                          <c:v>14</c:v>
                        </c:pt>
                        <c:pt idx="126">
                          <c:v>15</c:v>
                        </c:pt>
                        <c:pt idx="127">
                          <c:v>16</c:v>
                        </c:pt>
                        <c:pt idx="128">
                          <c:v>17</c:v>
                        </c:pt>
                        <c:pt idx="129">
                          <c:v>18</c:v>
                        </c:pt>
                        <c:pt idx="130">
                          <c:v>19</c:v>
                        </c:pt>
                        <c:pt idx="131">
                          <c:v>19</c:v>
                        </c:pt>
                        <c:pt idx="132">
                          <c:v>20</c:v>
                        </c:pt>
                        <c:pt idx="133">
                          <c:v>20</c:v>
                        </c:pt>
                        <c:pt idx="134">
                          <c:v>21</c:v>
                        </c:pt>
                        <c:pt idx="135">
                          <c:v>21</c:v>
                        </c:pt>
                      </c:lvl>
                    </c:multiLvlStrCache>
                  </c:multiLvlStrRef>
                </c:cat>
                <c:val>
                  <c:numRef>
                    <c:extLst xmlns:c15="http://schemas.microsoft.com/office/drawing/2012/chart">
                      <c:ext xmlns:c15="http://schemas.microsoft.com/office/drawing/2012/chart" uri="{02D57815-91ED-43cb-92C2-25804820EDAC}">
                        <c15:formulaRef>
                          <c15:sqref>Report!$L$2:$L$136</c15:sqref>
                        </c15:formulaRef>
                      </c:ext>
                    </c:extLst>
                    <c:numCache>
                      <c:formatCode>_("₹"* #,##0_);_("₹"* \(#,##0\);_("₹"* "-"_);_(@_)</c:formatCode>
                      <c:ptCount val="135"/>
                      <c:pt idx="0">
                        <c:v>6313</c:v>
                      </c:pt>
                      <c:pt idx="1">
                        <c:v>6114</c:v>
                      </c:pt>
                      <c:pt idx="2">
                        <c:v>6114</c:v>
                      </c:pt>
                      <c:pt idx="3">
                        <c:v>6114</c:v>
                      </c:pt>
                      <c:pt idx="4">
                        <c:v>6114</c:v>
                      </c:pt>
                      <c:pt idx="5">
                        <c:v>6114</c:v>
                      </c:pt>
                      <c:pt idx="6">
                        <c:v>6114</c:v>
                      </c:pt>
                      <c:pt idx="7">
                        <c:v>6114</c:v>
                      </c:pt>
                      <c:pt idx="8">
                        <c:v>6114</c:v>
                      </c:pt>
                      <c:pt idx="9">
                        <c:v>6114</c:v>
                      </c:pt>
                      <c:pt idx="10">
                        <c:v>6114</c:v>
                      </c:pt>
                      <c:pt idx="11">
                        <c:v>6114</c:v>
                      </c:pt>
                      <c:pt idx="12">
                        <c:v>6114</c:v>
                      </c:pt>
                      <c:pt idx="13">
                        <c:v>6114</c:v>
                      </c:pt>
                      <c:pt idx="14">
                        <c:v>6114</c:v>
                      </c:pt>
                      <c:pt idx="15">
                        <c:v>6114</c:v>
                      </c:pt>
                      <c:pt idx="16">
                        <c:v>6114</c:v>
                      </c:pt>
                      <c:pt idx="17">
                        <c:v>6114</c:v>
                      </c:pt>
                      <c:pt idx="18">
                        <c:v>6114</c:v>
                      </c:pt>
                      <c:pt idx="19">
                        <c:v>6114</c:v>
                      </c:pt>
                      <c:pt idx="20">
                        <c:v>6114</c:v>
                      </c:pt>
                      <c:pt idx="21">
                        <c:v>6114</c:v>
                      </c:pt>
                      <c:pt idx="22">
                        <c:v>6114</c:v>
                      </c:pt>
                      <c:pt idx="23">
                        <c:v>6114</c:v>
                      </c:pt>
                      <c:pt idx="24">
                        <c:v>6114</c:v>
                      </c:pt>
                      <c:pt idx="25">
                        <c:v>6114</c:v>
                      </c:pt>
                      <c:pt idx="26">
                        <c:v>6114</c:v>
                      </c:pt>
                      <c:pt idx="27">
                        <c:v>6114</c:v>
                      </c:pt>
                      <c:pt idx="28">
                        <c:v>6114</c:v>
                      </c:pt>
                      <c:pt idx="29">
                        <c:v>6114</c:v>
                      </c:pt>
                      <c:pt idx="30">
                        <c:v>5929</c:v>
                      </c:pt>
                      <c:pt idx="31">
                        <c:v>5929</c:v>
                      </c:pt>
                      <c:pt idx="32">
                        <c:v>5929</c:v>
                      </c:pt>
                      <c:pt idx="33">
                        <c:v>5929</c:v>
                      </c:pt>
                      <c:pt idx="34">
                        <c:v>5929</c:v>
                      </c:pt>
                      <c:pt idx="35">
                        <c:v>5899</c:v>
                      </c:pt>
                      <c:pt idx="36">
                        <c:v>5899</c:v>
                      </c:pt>
                      <c:pt idx="37">
                        <c:v>5899</c:v>
                      </c:pt>
                      <c:pt idx="38">
                        <c:v>5899</c:v>
                      </c:pt>
                      <c:pt idx="39">
                        <c:v>5899</c:v>
                      </c:pt>
                      <c:pt idx="40">
                        <c:v>5899</c:v>
                      </c:pt>
                      <c:pt idx="41">
                        <c:v>5899</c:v>
                      </c:pt>
                      <c:pt idx="42">
                        <c:v>5899</c:v>
                      </c:pt>
                      <c:pt idx="43">
                        <c:v>-4101</c:v>
                      </c:pt>
                      <c:pt idx="44">
                        <c:v>3899</c:v>
                      </c:pt>
                      <c:pt idx="45">
                        <c:v>3069</c:v>
                      </c:pt>
                      <c:pt idx="46">
                        <c:v>3069</c:v>
                      </c:pt>
                      <c:pt idx="47">
                        <c:v>3069</c:v>
                      </c:pt>
                      <c:pt idx="48">
                        <c:v>3069</c:v>
                      </c:pt>
                      <c:pt idx="49">
                        <c:v>3069</c:v>
                      </c:pt>
                      <c:pt idx="50">
                        <c:v>3069</c:v>
                      </c:pt>
                      <c:pt idx="51">
                        <c:v>3069</c:v>
                      </c:pt>
                      <c:pt idx="52">
                        <c:v>3069</c:v>
                      </c:pt>
                      <c:pt idx="53">
                        <c:v>3069</c:v>
                      </c:pt>
                      <c:pt idx="54">
                        <c:v>3069</c:v>
                      </c:pt>
                      <c:pt idx="55">
                        <c:v>3069</c:v>
                      </c:pt>
                      <c:pt idx="56">
                        <c:v>3069</c:v>
                      </c:pt>
                      <c:pt idx="57">
                        <c:v>3069</c:v>
                      </c:pt>
                      <c:pt idx="58">
                        <c:v>3069</c:v>
                      </c:pt>
                      <c:pt idx="59">
                        <c:v>3069</c:v>
                      </c:pt>
                      <c:pt idx="60">
                        <c:v>3069</c:v>
                      </c:pt>
                      <c:pt idx="61">
                        <c:v>3069</c:v>
                      </c:pt>
                      <c:pt idx="62">
                        <c:v>3069</c:v>
                      </c:pt>
                      <c:pt idx="63">
                        <c:v>3069</c:v>
                      </c:pt>
                      <c:pt idx="64">
                        <c:v>3069</c:v>
                      </c:pt>
                      <c:pt idx="65">
                        <c:v>3069</c:v>
                      </c:pt>
                      <c:pt idx="66">
                        <c:v>3019</c:v>
                      </c:pt>
                      <c:pt idx="67">
                        <c:v>3019</c:v>
                      </c:pt>
                      <c:pt idx="68">
                        <c:v>3019</c:v>
                      </c:pt>
                      <c:pt idx="69">
                        <c:v>3019</c:v>
                      </c:pt>
                      <c:pt idx="70">
                        <c:v>3019</c:v>
                      </c:pt>
                      <c:pt idx="71">
                        <c:v>3019</c:v>
                      </c:pt>
                      <c:pt idx="72">
                        <c:v>3019</c:v>
                      </c:pt>
                      <c:pt idx="73">
                        <c:v>3019</c:v>
                      </c:pt>
                      <c:pt idx="74">
                        <c:v>2820</c:v>
                      </c:pt>
                      <c:pt idx="75">
                        <c:v>2820</c:v>
                      </c:pt>
                      <c:pt idx="76">
                        <c:v>2820</c:v>
                      </c:pt>
                      <c:pt idx="77">
                        <c:v>2820</c:v>
                      </c:pt>
                      <c:pt idx="78">
                        <c:v>2820</c:v>
                      </c:pt>
                      <c:pt idx="79">
                        <c:v>2820</c:v>
                      </c:pt>
                      <c:pt idx="80">
                        <c:v>2820</c:v>
                      </c:pt>
                      <c:pt idx="81">
                        <c:v>2820</c:v>
                      </c:pt>
                      <c:pt idx="82">
                        <c:v>2820</c:v>
                      </c:pt>
                      <c:pt idx="83">
                        <c:v>2820</c:v>
                      </c:pt>
                      <c:pt idx="84">
                        <c:v>2820</c:v>
                      </c:pt>
                      <c:pt idx="85">
                        <c:v>2780</c:v>
                      </c:pt>
                      <c:pt idx="86">
                        <c:v>2780</c:v>
                      </c:pt>
                      <c:pt idx="87">
                        <c:v>2780</c:v>
                      </c:pt>
                      <c:pt idx="88">
                        <c:v>2780</c:v>
                      </c:pt>
                      <c:pt idx="89">
                        <c:v>3030</c:v>
                      </c:pt>
                      <c:pt idx="90">
                        <c:v>3030</c:v>
                      </c:pt>
                      <c:pt idx="91">
                        <c:v>3030</c:v>
                      </c:pt>
                      <c:pt idx="92">
                        <c:v>3030</c:v>
                      </c:pt>
                      <c:pt idx="93">
                        <c:v>3110</c:v>
                      </c:pt>
                      <c:pt idx="94">
                        <c:v>3110</c:v>
                      </c:pt>
                      <c:pt idx="95">
                        <c:v>3110</c:v>
                      </c:pt>
                      <c:pt idx="96">
                        <c:v>3110</c:v>
                      </c:pt>
                      <c:pt idx="97">
                        <c:v>3110</c:v>
                      </c:pt>
                      <c:pt idx="98">
                        <c:v>3110</c:v>
                      </c:pt>
                      <c:pt idx="99">
                        <c:v>3110</c:v>
                      </c:pt>
                      <c:pt idx="100">
                        <c:v>3110</c:v>
                      </c:pt>
                      <c:pt idx="101">
                        <c:v>3110</c:v>
                      </c:pt>
                      <c:pt idx="102">
                        <c:v>3110</c:v>
                      </c:pt>
                      <c:pt idx="103">
                        <c:v>3110</c:v>
                      </c:pt>
                      <c:pt idx="104">
                        <c:v>3121</c:v>
                      </c:pt>
                      <c:pt idx="105">
                        <c:v>3121</c:v>
                      </c:pt>
                      <c:pt idx="106">
                        <c:v>25621</c:v>
                      </c:pt>
                      <c:pt idx="107">
                        <c:v>25621</c:v>
                      </c:pt>
                      <c:pt idx="108">
                        <c:v>25621</c:v>
                      </c:pt>
                      <c:pt idx="109">
                        <c:v>25621</c:v>
                      </c:pt>
                      <c:pt idx="110">
                        <c:v>25621</c:v>
                      </c:pt>
                      <c:pt idx="111">
                        <c:v>25621</c:v>
                      </c:pt>
                      <c:pt idx="112">
                        <c:v>25621</c:v>
                      </c:pt>
                      <c:pt idx="113">
                        <c:v>25621</c:v>
                      </c:pt>
                      <c:pt idx="114">
                        <c:v>25621</c:v>
                      </c:pt>
                      <c:pt idx="115">
                        <c:v>25621</c:v>
                      </c:pt>
                      <c:pt idx="116">
                        <c:v>25621</c:v>
                      </c:pt>
                      <c:pt idx="117">
                        <c:v>25621</c:v>
                      </c:pt>
                      <c:pt idx="118">
                        <c:v>25621</c:v>
                      </c:pt>
                      <c:pt idx="119">
                        <c:v>25621</c:v>
                      </c:pt>
                      <c:pt idx="120">
                        <c:v>24420</c:v>
                      </c:pt>
                      <c:pt idx="121">
                        <c:v>24420</c:v>
                      </c:pt>
                      <c:pt idx="122">
                        <c:v>24420</c:v>
                      </c:pt>
                      <c:pt idx="123">
                        <c:v>24502</c:v>
                      </c:pt>
                      <c:pt idx="124">
                        <c:v>24502</c:v>
                      </c:pt>
                      <c:pt idx="125">
                        <c:v>24502</c:v>
                      </c:pt>
                      <c:pt idx="126">
                        <c:v>24502</c:v>
                      </c:pt>
                      <c:pt idx="127">
                        <c:v>24502</c:v>
                      </c:pt>
                      <c:pt idx="128">
                        <c:v>24502</c:v>
                      </c:pt>
                      <c:pt idx="129">
                        <c:v>24502</c:v>
                      </c:pt>
                      <c:pt idx="130">
                        <c:v>24512</c:v>
                      </c:pt>
                      <c:pt idx="131">
                        <c:v>24512</c:v>
                      </c:pt>
                      <c:pt idx="132">
                        <c:v>24512</c:v>
                      </c:pt>
                      <c:pt idx="133">
                        <c:v>24512</c:v>
                      </c:pt>
                      <c:pt idx="134">
                        <c:v>24512</c:v>
                      </c:pt>
                    </c:numCache>
                  </c:numRef>
                </c:val>
                <c:smooth val="0"/>
                <c:extLst xmlns:c15="http://schemas.microsoft.com/office/drawing/2012/chart">
                  <c:ext xmlns:c16="http://schemas.microsoft.com/office/drawing/2014/chart" uri="{C3380CC4-5D6E-409C-BE32-E72D297353CC}">
                    <c16:uniqueId val="{00000002-6DFA-44C8-BD9D-A34DAA0D0D02}"/>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Report!$M$1</c15:sqref>
                        </c15:formulaRef>
                      </c:ext>
                    </c:extLst>
                    <c:strCache>
                      <c:ptCount val="1"/>
                      <c:pt idx="0">
                        <c:v> UPI Lite </c:v>
                      </c:pt>
                    </c:strCache>
                  </c:strRef>
                </c:tx>
                <c:spPr>
                  <a:ln w="28575" cap="rnd">
                    <a:solidFill>
                      <a:schemeClr val="accent5">
                        <a:tint val="77000"/>
                      </a:schemeClr>
                    </a:solidFill>
                    <a:round/>
                  </a:ln>
                  <a:effectLst/>
                </c:spPr>
                <c:marker>
                  <c:symbol val="none"/>
                </c:marker>
                <c:cat>
                  <c:multiLvlStrRef>
                    <c:extLst xmlns:c15="http://schemas.microsoft.com/office/drawing/2012/chart">
                      <c:ext xmlns:c15="http://schemas.microsoft.com/office/drawing/2012/chart" uri="{02D57815-91ED-43cb-92C2-25804820EDAC}">
                        <c15:formulaRef>
                          <c15:sqref>Report!$A:$B</c15:sqref>
                        </c15:formulaRef>
                      </c:ext>
                    </c:extLst>
                    <c:multiLvlStrCache>
                      <c:ptCount val="136"/>
                      <c:lvl>
                        <c:pt idx="0">
                          <c:v>Month</c:v>
                        </c:pt>
                        <c:pt idx="1">
                          <c:v>December</c:v>
                        </c:pt>
                        <c:pt idx="2">
                          <c:v>December</c:v>
                        </c:pt>
                        <c:pt idx="3">
                          <c:v>December</c:v>
                        </c:pt>
                        <c:pt idx="4">
                          <c:v>December</c:v>
                        </c:pt>
                        <c:pt idx="5">
                          <c:v>December</c:v>
                        </c:pt>
                        <c:pt idx="6">
                          <c:v>December</c:v>
                        </c:pt>
                        <c:pt idx="7">
                          <c:v>December</c:v>
                        </c:pt>
                        <c:pt idx="8">
                          <c:v>December</c:v>
                        </c:pt>
                        <c:pt idx="9">
                          <c:v>December</c:v>
                        </c:pt>
                        <c:pt idx="10">
                          <c:v>December</c:v>
                        </c:pt>
                        <c:pt idx="11">
                          <c:v>December</c:v>
                        </c:pt>
                        <c:pt idx="12">
                          <c:v>December</c:v>
                        </c:pt>
                        <c:pt idx="13">
                          <c:v>December</c:v>
                        </c:pt>
                        <c:pt idx="14">
                          <c:v>January</c:v>
                        </c:pt>
                        <c:pt idx="15">
                          <c:v>January</c:v>
                        </c:pt>
                        <c:pt idx="16">
                          <c:v>January</c:v>
                        </c:pt>
                        <c:pt idx="17">
                          <c:v>January</c:v>
                        </c:pt>
                        <c:pt idx="18">
                          <c:v>January</c:v>
                        </c:pt>
                        <c:pt idx="19">
                          <c:v>January</c:v>
                        </c:pt>
                        <c:pt idx="20">
                          <c:v>January</c:v>
                        </c:pt>
                        <c:pt idx="21">
                          <c:v>January</c:v>
                        </c:pt>
                        <c:pt idx="22">
                          <c:v>January</c:v>
                        </c:pt>
                        <c:pt idx="23">
                          <c:v>January</c:v>
                        </c:pt>
                        <c:pt idx="24">
                          <c:v>January</c:v>
                        </c:pt>
                        <c:pt idx="25">
                          <c:v>January</c:v>
                        </c:pt>
                        <c:pt idx="26">
                          <c:v>January</c:v>
                        </c:pt>
                        <c:pt idx="27">
                          <c:v>January</c:v>
                        </c:pt>
                        <c:pt idx="28">
                          <c:v>January</c:v>
                        </c:pt>
                        <c:pt idx="29">
                          <c:v>January</c:v>
                        </c:pt>
                        <c:pt idx="30">
                          <c:v>January</c:v>
                        </c:pt>
                        <c:pt idx="31">
                          <c:v>January</c:v>
                        </c:pt>
                        <c:pt idx="32">
                          <c:v>January</c:v>
                        </c:pt>
                        <c:pt idx="33">
                          <c:v>January</c:v>
                        </c:pt>
                        <c:pt idx="34">
                          <c:v>January</c:v>
                        </c:pt>
                        <c:pt idx="35">
                          <c:v>January</c:v>
                        </c:pt>
                        <c:pt idx="36">
                          <c:v>January</c:v>
                        </c:pt>
                        <c:pt idx="37">
                          <c:v>January</c:v>
                        </c:pt>
                        <c:pt idx="38">
                          <c:v>January</c:v>
                        </c:pt>
                        <c:pt idx="39">
                          <c:v>January</c:v>
                        </c:pt>
                        <c:pt idx="40">
                          <c:v>January</c:v>
                        </c:pt>
                        <c:pt idx="41">
                          <c:v>January</c:v>
                        </c:pt>
                        <c:pt idx="42">
                          <c:v>January</c:v>
                        </c:pt>
                        <c:pt idx="43">
                          <c:v>January</c:v>
                        </c:pt>
                        <c:pt idx="44">
                          <c:v>January</c:v>
                        </c:pt>
                        <c:pt idx="45">
                          <c:v>January</c:v>
                        </c:pt>
                        <c:pt idx="46">
                          <c:v>January</c:v>
                        </c:pt>
                        <c:pt idx="47">
                          <c:v>January</c:v>
                        </c:pt>
                        <c:pt idx="48">
                          <c:v>January</c:v>
                        </c:pt>
                        <c:pt idx="49">
                          <c:v>January</c:v>
                        </c:pt>
                        <c:pt idx="50">
                          <c:v>January</c:v>
                        </c:pt>
                        <c:pt idx="51">
                          <c:v>January</c:v>
                        </c:pt>
                        <c:pt idx="52">
                          <c:v>January</c:v>
                        </c:pt>
                        <c:pt idx="53">
                          <c:v>January</c:v>
                        </c:pt>
                        <c:pt idx="54">
                          <c:v>January</c:v>
                        </c:pt>
                        <c:pt idx="55">
                          <c:v>January</c:v>
                        </c:pt>
                        <c:pt idx="56">
                          <c:v>February</c:v>
                        </c:pt>
                        <c:pt idx="57">
                          <c:v>February</c:v>
                        </c:pt>
                        <c:pt idx="58">
                          <c:v>February</c:v>
                        </c:pt>
                        <c:pt idx="59">
                          <c:v>February</c:v>
                        </c:pt>
                        <c:pt idx="60">
                          <c:v>February</c:v>
                        </c:pt>
                        <c:pt idx="61">
                          <c:v>February</c:v>
                        </c:pt>
                        <c:pt idx="62">
                          <c:v>February</c:v>
                        </c:pt>
                        <c:pt idx="63">
                          <c:v>February</c:v>
                        </c:pt>
                        <c:pt idx="64">
                          <c:v>February</c:v>
                        </c:pt>
                        <c:pt idx="65">
                          <c:v>February</c:v>
                        </c:pt>
                        <c:pt idx="66">
                          <c:v>February</c:v>
                        </c:pt>
                        <c:pt idx="67">
                          <c:v>February</c:v>
                        </c:pt>
                        <c:pt idx="68">
                          <c:v>February</c:v>
                        </c:pt>
                        <c:pt idx="69">
                          <c:v>February</c:v>
                        </c:pt>
                        <c:pt idx="70">
                          <c:v>February</c:v>
                        </c:pt>
                        <c:pt idx="71">
                          <c:v>February</c:v>
                        </c:pt>
                        <c:pt idx="72">
                          <c:v>February</c:v>
                        </c:pt>
                        <c:pt idx="73">
                          <c:v>February</c:v>
                        </c:pt>
                        <c:pt idx="74">
                          <c:v>February</c:v>
                        </c:pt>
                        <c:pt idx="75">
                          <c:v>February</c:v>
                        </c:pt>
                        <c:pt idx="76">
                          <c:v>February</c:v>
                        </c:pt>
                        <c:pt idx="77">
                          <c:v>February</c:v>
                        </c:pt>
                        <c:pt idx="78">
                          <c:v>February</c:v>
                        </c:pt>
                        <c:pt idx="79">
                          <c:v>February</c:v>
                        </c:pt>
                        <c:pt idx="80">
                          <c:v>February</c:v>
                        </c:pt>
                        <c:pt idx="81">
                          <c:v>February</c:v>
                        </c:pt>
                        <c:pt idx="82">
                          <c:v>February</c:v>
                        </c:pt>
                        <c:pt idx="83">
                          <c:v>February</c:v>
                        </c:pt>
                        <c:pt idx="84">
                          <c:v>February</c:v>
                        </c:pt>
                        <c:pt idx="85">
                          <c:v>February</c:v>
                        </c:pt>
                        <c:pt idx="86">
                          <c:v>February</c:v>
                        </c:pt>
                        <c:pt idx="87">
                          <c:v>February</c:v>
                        </c:pt>
                        <c:pt idx="88">
                          <c:v>February</c:v>
                        </c:pt>
                        <c:pt idx="89">
                          <c:v>February</c:v>
                        </c:pt>
                        <c:pt idx="90">
                          <c:v>February</c:v>
                        </c:pt>
                        <c:pt idx="91">
                          <c:v>February</c:v>
                        </c:pt>
                        <c:pt idx="92">
                          <c:v>February</c:v>
                        </c:pt>
                        <c:pt idx="93">
                          <c:v>February</c:v>
                        </c:pt>
                        <c:pt idx="94">
                          <c:v>February</c:v>
                        </c:pt>
                        <c:pt idx="95">
                          <c:v>February</c:v>
                        </c:pt>
                        <c:pt idx="96">
                          <c:v>February</c:v>
                        </c:pt>
                        <c:pt idx="97">
                          <c:v>February</c:v>
                        </c:pt>
                        <c:pt idx="98">
                          <c:v>February</c:v>
                        </c:pt>
                        <c:pt idx="99">
                          <c:v>March</c:v>
                        </c:pt>
                        <c:pt idx="100">
                          <c:v>March</c:v>
                        </c:pt>
                        <c:pt idx="101">
                          <c:v>March</c:v>
                        </c:pt>
                        <c:pt idx="102">
                          <c:v>March</c:v>
                        </c:pt>
                        <c:pt idx="103">
                          <c:v>March</c:v>
                        </c:pt>
                        <c:pt idx="104">
                          <c:v>March</c:v>
                        </c:pt>
                        <c:pt idx="105">
                          <c:v>March</c:v>
                        </c:pt>
                        <c:pt idx="106">
                          <c:v>March</c:v>
                        </c:pt>
                        <c:pt idx="107">
                          <c:v>March</c:v>
                        </c:pt>
                        <c:pt idx="108">
                          <c:v>March</c:v>
                        </c:pt>
                        <c:pt idx="109">
                          <c:v>March</c:v>
                        </c:pt>
                        <c:pt idx="110">
                          <c:v>March</c:v>
                        </c:pt>
                        <c:pt idx="111">
                          <c:v>March</c:v>
                        </c:pt>
                        <c:pt idx="112">
                          <c:v>March</c:v>
                        </c:pt>
                        <c:pt idx="113">
                          <c:v>March</c:v>
                        </c:pt>
                        <c:pt idx="114">
                          <c:v>March</c:v>
                        </c:pt>
                        <c:pt idx="115">
                          <c:v>March</c:v>
                        </c:pt>
                        <c:pt idx="116">
                          <c:v>March</c:v>
                        </c:pt>
                        <c:pt idx="117">
                          <c:v>March</c:v>
                        </c:pt>
                        <c:pt idx="118">
                          <c:v>March</c:v>
                        </c:pt>
                        <c:pt idx="119">
                          <c:v>March</c:v>
                        </c:pt>
                        <c:pt idx="120">
                          <c:v>March</c:v>
                        </c:pt>
                        <c:pt idx="121">
                          <c:v>March</c:v>
                        </c:pt>
                        <c:pt idx="122">
                          <c:v>March</c:v>
                        </c:pt>
                        <c:pt idx="123">
                          <c:v>March</c:v>
                        </c:pt>
                        <c:pt idx="124">
                          <c:v>March</c:v>
                        </c:pt>
                        <c:pt idx="125">
                          <c:v>March</c:v>
                        </c:pt>
                        <c:pt idx="126">
                          <c:v>March</c:v>
                        </c:pt>
                        <c:pt idx="127">
                          <c:v>March</c:v>
                        </c:pt>
                        <c:pt idx="128">
                          <c:v>March</c:v>
                        </c:pt>
                        <c:pt idx="129">
                          <c:v>March</c:v>
                        </c:pt>
                        <c:pt idx="130">
                          <c:v>March</c:v>
                        </c:pt>
                        <c:pt idx="131">
                          <c:v>March</c:v>
                        </c:pt>
                        <c:pt idx="132">
                          <c:v>March</c:v>
                        </c:pt>
                        <c:pt idx="133">
                          <c:v>March</c:v>
                        </c:pt>
                        <c:pt idx="134">
                          <c:v>March</c:v>
                        </c:pt>
                        <c:pt idx="135">
                          <c:v>March</c:v>
                        </c:pt>
                      </c:lvl>
                      <c:lvl>
                        <c:pt idx="0">
                          <c:v>Date</c:v>
                        </c:pt>
                        <c:pt idx="1">
                          <c:v>23</c:v>
                        </c:pt>
                        <c:pt idx="2">
                          <c:v>24</c:v>
                        </c:pt>
                        <c:pt idx="3">
                          <c:v>24</c:v>
                        </c:pt>
                        <c:pt idx="4">
                          <c:v>25</c:v>
                        </c:pt>
                        <c:pt idx="5">
                          <c:v>25</c:v>
                        </c:pt>
                        <c:pt idx="6">
                          <c:v>26</c:v>
                        </c:pt>
                        <c:pt idx="7">
                          <c:v>26</c:v>
                        </c:pt>
                        <c:pt idx="8">
                          <c:v>27</c:v>
                        </c:pt>
                        <c:pt idx="9">
                          <c:v>28</c:v>
                        </c:pt>
                        <c:pt idx="10">
                          <c:v>29</c:v>
                        </c:pt>
                        <c:pt idx="11">
                          <c:v>30</c:v>
                        </c:pt>
                        <c:pt idx="12">
                          <c:v>30</c:v>
                        </c:pt>
                        <c:pt idx="13">
                          <c:v>31</c:v>
                        </c:pt>
                        <c:pt idx="14">
                          <c:v>01</c:v>
                        </c:pt>
                        <c:pt idx="15">
                          <c:v>01</c:v>
                        </c:pt>
                        <c:pt idx="16">
                          <c:v>02</c:v>
                        </c:pt>
                        <c:pt idx="17">
                          <c:v>03</c:v>
                        </c:pt>
                        <c:pt idx="18">
                          <c:v>04</c:v>
                        </c:pt>
                        <c:pt idx="19">
                          <c:v>05</c:v>
                        </c:pt>
                        <c:pt idx="20">
                          <c:v>06</c:v>
                        </c:pt>
                        <c:pt idx="21">
                          <c:v>06</c:v>
                        </c:pt>
                        <c:pt idx="22">
                          <c:v>07</c:v>
                        </c:pt>
                        <c:pt idx="23">
                          <c:v>08</c:v>
                        </c:pt>
                        <c:pt idx="24">
                          <c:v>09</c:v>
                        </c:pt>
                        <c:pt idx="25">
                          <c:v>09</c:v>
                        </c:pt>
                        <c:pt idx="26">
                          <c:v>09</c:v>
                        </c:pt>
                        <c:pt idx="27">
                          <c:v>10</c:v>
                        </c:pt>
                        <c:pt idx="28">
                          <c:v>11</c:v>
                        </c:pt>
                        <c:pt idx="29">
                          <c:v>12</c:v>
                        </c:pt>
                        <c:pt idx="30">
                          <c:v>12</c:v>
                        </c:pt>
                        <c:pt idx="31">
                          <c:v>13</c:v>
                        </c:pt>
                        <c:pt idx="32">
                          <c:v>13</c:v>
                        </c:pt>
                        <c:pt idx="33">
                          <c:v>14</c:v>
                        </c:pt>
                        <c:pt idx="34">
                          <c:v>15</c:v>
                        </c:pt>
                        <c:pt idx="35">
                          <c:v>15</c:v>
                        </c:pt>
                        <c:pt idx="36">
                          <c:v>15</c:v>
                        </c:pt>
                        <c:pt idx="37">
                          <c:v>16</c:v>
                        </c:pt>
                        <c:pt idx="38">
                          <c:v>17</c:v>
                        </c:pt>
                        <c:pt idx="39">
                          <c:v>17</c:v>
                        </c:pt>
                        <c:pt idx="40">
                          <c:v>18</c:v>
                        </c:pt>
                        <c:pt idx="41">
                          <c:v>18</c:v>
                        </c:pt>
                        <c:pt idx="42">
                          <c:v>18</c:v>
                        </c:pt>
                        <c:pt idx="43">
                          <c:v>19</c:v>
                        </c:pt>
                        <c:pt idx="44">
                          <c:v>20</c:v>
                        </c:pt>
                        <c:pt idx="45">
                          <c:v>20</c:v>
                        </c:pt>
                        <c:pt idx="46">
                          <c:v>25</c:v>
                        </c:pt>
                        <c:pt idx="47">
                          <c:v>25</c:v>
                        </c:pt>
                        <c:pt idx="48">
                          <c:v>27</c:v>
                        </c:pt>
                        <c:pt idx="49">
                          <c:v>28</c:v>
                        </c:pt>
                        <c:pt idx="50">
                          <c:v>29</c:v>
                        </c:pt>
                        <c:pt idx="51">
                          <c:v>29</c:v>
                        </c:pt>
                        <c:pt idx="52">
                          <c:v>29</c:v>
                        </c:pt>
                        <c:pt idx="53">
                          <c:v>30</c:v>
                        </c:pt>
                        <c:pt idx="54">
                          <c:v>31</c:v>
                        </c:pt>
                        <c:pt idx="55">
                          <c:v>31</c:v>
                        </c:pt>
                        <c:pt idx="56">
                          <c:v>01</c:v>
                        </c:pt>
                        <c:pt idx="57">
                          <c:v>02</c:v>
                        </c:pt>
                        <c:pt idx="58">
                          <c:v>04</c:v>
                        </c:pt>
                        <c:pt idx="59">
                          <c:v>05</c:v>
                        </c:pt>
                        <c:pt idx="60">
                          <c:v>05</c:v>
                        </c:pt>
                        <c:pt idx="61">
                          <c:v>06</c:v>
                        </c:pt>
                        <c:pt idx="62">
                          <c:v>06</c:v>
                        </c:pt>
                        <c:pt idx="63">
                          <c:v>07</c:v>
                        </c:pt>
                        <c:pt idx="64">
                          <c:v>07</c:v>
                        </c:pt>
                        <c:pt idx="65">
                          <c:v>08</c:v>
                        </c:pt>
                        <c:pt idx="66">
                          <c:v>08</c:v>
                        </c:pt>
                        <c:pt idx="67">
                          <c:v>09</c:v>
                        </c:pt>
                        <c:pt idx="68">
                          <c:v>09</c:v>
                        </c:pt>
                        <c:pt idx="69">
                          <c:v>09</c:v>
                        </c:pt>
                        <c:pt idx="70">
                          <c:v>10</c:v>
                        </c:pt>
                        <c:pt idx="71">
                          <c:v>11</c:v>
                        </c:pt>
                        <c:pt idx="72">
                          <c:v>13</c:v>
                        </c:pt>
                        <c:pt idx="73">
                          <c:v>14</c:v>
                        </c:pt>
                        <c:pt idx="74">
                          <c:v>14</c:v>
                        </c:pt>
                        <c:pt idx="75">
                          <c:v>14</c:v>
                        </c:pt>
                        <c:pt idx="76">
                          <c:v>14</c:v>
                        </c:pt>
                        <c:pt idx="77">
                          <c:v>15</c:v>
                        </c:pt>
                        <c:pt idx="78">
                          <c:v>16</c:v>
                        </c:pt>
                        <c:pt idx="79">
                          <c:v>17</c:v>
                        </c:pt>
                        <c:pt idx="80">
                          <c:v>18</c:v>
                        </c:pt>
                        <c:pt idx="81">
                          <c:v>19</c:v>
                        </c:pt>
                        <c:pt idx="82">
                          <c:v>19</c:v>
                        </c:pt>
                        <c:pt idx="83">
                          <c:v>20</c:v>
                        </c:pt>
                        <c:pt idx="84">
                          <c:v>21</c:v>
                        </c:pt>
                        <c:pt idx="85">
                          <c:v>22</c:v>
                        </c:pt>
                        <c:pt idx="86">
                          <c:v>23</c:v>
                        </c:pt>
                        <c:pt idx="87">
                          <c:v>23</c:v>
                        </c:pt>
                        <c:pt idx="88">
                          <c:v>23</c:v>
                        </c:pt>
                        <c:pt idx="89">
                          <c:v>24</c:v>
                        </c:pt>
                        <c:pt idx="90">
                          <c:v>24</c:v>
                        </c:pt>
                        <c:pt idx="91">
                          <c:v>25</c:v>
                        </c:pt>
                        <c:pt idx="92">
                          <c:v>25</c:v>
                        </c:pt>
                        <c:pt idx="93">
                          <c:v>26</c:v>
                        </c:pt>
                        <c:pt idx="94">
                          <c:v>27</c:v>
                        </c:pt>
                        <c:pt idx="95">
                          <c:v>27</c:v>
                        </c:pt>
                        <c:pt idx="96">
                          <c:v>28</c:v>
                        </c:pt>
                        <c:pt idx="97">
                          <c:v>29</c:v>
                        </c:pt>
                        <c:pt idx="98">
                          <c:v>29</c:v>
                        </c:pt>
                        <c:pt idx="99">
                          <c:v>01</c:v>
                        </c:pt>
                        <c:pt idx="100">
                          <c:v>02</c:v>
                        </c:pt>
                        <c:pt idx="101">
                          <c:v>03</c:v>
                        </c:pt>
                        <c:pt idx="102">
                          <c:v>03</c:v>
                        </c:pt>
                        <c:pt idx="103">
                          <c:v>03</c:v>
                        </c:pt>
                        <c:pt idx="104">
                          <c:v>03</c:v>
                        </c:pt>
                        <c:pt idx="105">
                          <c:v>03</c:v>
                        </c:pt>
                        <c:pt idx="106">
                          <c:v>03</c:v>
                        </c:pt>
                        <c:pt idx="107">
                          <c:v>03</c:v>
                        </c:pt>
                        <c:pt idx="108">
                          <c:v>04</c:v>
                        </c:pt>
                        <c:pt idx="109">
                          <c:v>05</c:v>
                        </c:pt>
                        <c:pt idx="110">
                          <c:v>05</c:v>
                        </c:pt>
                        <c:pt idx="111">
                          <c:v>05</c:v>
                        </c:pt>
                        <c:pt idx="112">
                          <c:v>06</c:v>
                        </c:pt>
                        <c:pt idx="113">
                          <c:v>07</c:v>
                        </c:pt>
                        <c:pt idx="114">
                          <c:v>08</c:v>
                        </c:pt>
                        <c:pt idx="115">
                          <c:v>08</c:v>
                        </c:pt>
                        <c:pt idx="116">
                          <c:v>09</c:v>
                        </c:pt>
                        <c:pt idx="117">
                          <c:v>10</c:v>
                        </c:pt>
                        <c:pt idx="118">
                          <c:v>10</c:v>
                        </c:pt>
                        <c:pt idx="119">
                          <c:v>11</c:v>
                        </c:pt>
                        <c:pt idx="120">
                          <c:v>12</c:v>
                        </c:pt>
                        <c:pt idx="121">
                          <c:v>12</c:v>
                        </c:pt>
                        <c:pt idx="122">
                          <c:v>13</c:v>
                        </c:pt>
                        <c:pt idx="123">
                          <c:v>13</c:v>
                        </c:pt>
                        <c:pt idx="124">
                          <c:v>14</c:v>
                        </c:pt>
                        <c:pt idx="125">
                          <c:v>14</c:v>
                        </c:pt>
                        <c:pt idx="126">
                          <c:v>15</c:v>
                        </c:pt>
                        <c:pt idx="127">
                          <c:v>16</c:v>
                        </c:pt>
                        <c:pt idx="128">
                          <c:v>17</c:v>
                        </c:pt>
                        <c:pt idx="129">
                          <c:v>18</c:v>
                        </c:pt>
                        <c:pt idx="130">
                          <c:v>19</c:v>
                        </c:pt>
                        <c:pt idx="131">
                          <c:v>19</c:v>
                        </c:pt>
                        <c:pt idx="132">
                          <c:v>20</c:v>
                        </c:pt>
                        <c:pt idx="133">
                          <c:v>20</c:v>
                        </c:pt>
                        <c:pt idx="134">
                          <c:v>21</c:v>
                        </c:pt>
                        <c:pt idx="135">
                          <c:v>21</c:v>
                        </c:pt>
                      </c:lvl>
                    </c:multiLvlStrCache>
                  </c:multiLvlStrRef>
                </c:cat>
                <c:val>
                  <c:numRef>
                    <c:extLst xmlns:c15="http://schemas.microsoft.com/office/drawing/2012/chart">
                      <c:ext xmlns:c15="http://schemas.microsoft.com/office/drawing/2012/chart" uri="{02D57815-91ED-43cb-92C2-25804820EDAC}">
                        <c15:formulaRef>
                          <c15:sqref>Report!$M$2:$M$136</c15:sqref>
                        </c15:formulaRef>
                      </c:ext>
                    </c:extLst>
                    <c:numCache>
                      <c:formatCode>_("₹"* #,##0_);_("₹"* \(#,##0\);_("₹"* "-"_);_(@_)</c:formatCode>
                      <c:ptCount val="135"/>
                      <c:pt idx="0">
                        <c:v>17</c:v>
                      </c:pt>
                      <c:pt idx="1">
                        <c:v>17</c:v>
                      </c:pt>
                      <c:pt idx="2">
                        <c:v>17</c:v>
                      </c:pt>
                      <c:pt idx="3">
                        <c:v>17</c:v>
                      </c:pt>
                      <c:pt idx="4">
                        <c:v>17</c:v>
                      </c:pt>
                      <c:pt idx="5">
                        <c:v>-182</c:v>
                      </c:pt>
                      <c:pt idx="6">
                        <c:v>1810</c:v>
                      </c:pt>
                      <c:pt idx="7">
                        <c:v>1601</c:v>
                      </c:pt>
                      <c:pt idx="8">
                        <c:v>1402</c:v>
                      </c:pt>
                      <c:pt idx="9">
                        <c:v>1153</c:v>
                      </c:pt>
                      <c:pt idx="10">
                        <c:v>1074</c:v>
                      </c:pt>
                      <c:pt idx="11">
                        <c:v>1074</c:v>
                      </c:pt>
                      <c:pt idx="12">
                        <c:v>795</c:v>
                      </c:pt>
                      <c:pt idx="13">
                        <c:v>2757</c:v>
                      </c:pt>
                      <c:pt idx="14">
                        <c:v>2188</c:v>
                      </c:pt>
                      <c:pt idx="15">
                        <c:v>1949</c:v>
                      </c:pt>
                      <c:pt idx="16">
                        <c:v>1730</c:v>
                      </c:pt>
                      <c:pt idx="17">
                        <c:v>1436</c:v>
                      </c:pt>
                      <c:pt idx="18">
                        <c:v>1207</c:v>
                      </c:pt>
                      <c:pt idx="19">
                        <c:v>761</c:v>
                      </c:pt>
                      <c:pt idx="20">
                        <c:v>761</c:v>
                      </c:pt>
                      <c:pt idx="21">
                        <c:v>283</c:v>
                      </c:pt>
                      <c:pt idx="22">
                        <c:v>138</c:v>
                      </c:pt>
                      <c:pt idx="23">
                        <c:v>138</c:v>
                      </c:pt>
                      <c:pt idx="24">
                        <c:v>-66</c:v>
                      </c:pt>
                      <c:pt idx="25">
                        <c:v>1919</c:v>
                      </c:pt>
                      <c:pt idx="26">
                        <c:v>1685</c:v>
                      </c:pt>
                      <c:pt idx="27">
                        <c:v>1435</c:v>
                      </c:pt>
                      <c:pt idx="28">
                        <c:v>1435</c:v>
                      </c:pt>
                      <c:pt idx="29">
                        <c:v>1181</c:v>
                      </c:pt>
                      <c:pt idx="30">
                        <c:v>1181</c:v>
                      </c:pt>
                      <c:pt idx="31">
                        <c:v>911</c:v>
                      </c:pt>
                      <c:pt idx="32">
                        <c:v>256</c:v>
                      </c:pt>
                      <c:pt idx="33">
                        <c:v>6</c:v>
                      </c:pt>
                      <c:pt idx="34">
                        <c:v>1949</c:v>
                      </c:pt>
                      <c:pt idx="35">
                        <c:v>1949</c:v>
                      </c:pt>
                      <c:pt idx="36">
                        <c:v>1670</c:v>
                      </c:pt>
                      <c:pt idx="37">
                        <c:v>1476</c:v>
                      </c:pt>
                      <c:pt idx="38">
                        <c:v>856</c:v>
                      </c:pt>
                      <c:pt idx="39">
                        <c:v>856</c:v>
                      </c:pt>
                      <c:pt idx="40">
                        <c:v>817</c:v>
                      </c:pt>
                      <c:pt idx="41">
                        <c:v>467</c:v>
                      </c:pt>
                      <c:pt idx="42">
                        <c:v>298</c:v>
                      </c:pt>
                      <c:pt idx="43">
                        <c:v>298</c:v>
                      </c:pt>
                      <c:pt idx="44">
                        <c:v>298</c:v>
                      </c:pt>
                      <c:pt idx="45">
                        <c:v>298</c:v>
                      </c:pt>
                      <c:pt idx="46">
                        <c:v>298</c:v>
                      </c:pt>
                      <c:pt idx="47">
                        <c:v>187</c:v>
                      </c:pt>
                      <c:pt idx="48">
                        <c:v>87</c:v>
                      </c:pt>
                      <c:pt idx="49">
                        <c:v>87</c:v>
                      </c:pt>
                      <c:pt idx="50">
                        <c:v>27</c:v>
                      </c:pt>
                      <c:pt idx="51">
                        <c:v>27</c:v>
                      </c:pt>
                      <c:pt idx="52">
                        <c:v>27</c:v>
                      </c:pt>
                      <c:pt idx="53">
                        <c:v>27</c:v>
                      </c:pt>
                      <c:pt idx="54">
                        <c:v>17</c:v>
                      </c:pt>
                      <c:pt idx="55">
                        <c:v>17</c:v>
                      </c:pt>
                      <c:pt idx="56">
                        <c:v>17</c:v>
                      </c:pt>
                      <c:pt idx="57">
                        <c:v>17</c:v>
                      </c:pt>
                      <c:pt idx="58">
                        <c:v>17</c:v>
                      </c:pt>
                      <c:pt idx="59">
                        <c:v>17</c:v>
                      </c:pt>
                      <c:pt idx="60">
                        <c:v>17</c:v>
                      </c:pt>
                      <c:pt idx="61">
                        <c:v>17</c:v>
                      </c:pt>
                      <c:pt idx="62">
                        <c:v>-113</c:v>
                      </c:pt>
                      <c:pt idx="63">
                        <c:v>1879</c:v>
                      </c:pt>
                      <c:pt idx="64">
                        <c:v>1609</c:v>
                      </c:pt>
                      <c:pt idx="65">
                        <c:v>1409</c:v>
                      </c:pt>
                      <c:pt idx="66">
                        <c:v>1409</c:v>
                      </c:pt>
                      <c:pt idx="67">
                        <c:v>1409</c:v>
                      </c:pt>
                      <c:pt idx="68">
                        <c:v>1299</c:v>
                      </c:pt>
                      <c:pt idx="69">
                        <c:v>799</c:v>
                      </c:pt>
                      <c:pt idx="70">
                        <c:v>799</c:v>
                      </c:pt>
                      <c:pt idx="71">
                        <c:v>512</c:v>
                      </c:pt>
                      <c:pt idx="72">
                        <c:v>2409</c:v>
                      </c:pt>
                      <c:pt idx="73">
                        <c:v>2079</c:v>
                      </c:pt>
                      <c:pt idx="74">
                        <c:v>2079</c:v>
                      </c:pt>
                      <c:pt idx="75">
                        <c:v>1979</c:v>
                      </c:pt>
                      <c:pt idx="76">
                        <c:v>1740</c:v>
                      </c:pt>
                      <c:pt idx="77">
                        <c:v>1390</c:v>
                      </c:pt>
                      <c:pt idx="78">
                        <c:v>1200</c:v>
                      </c:pt>
                      <c:pt idx="79">
                        <c:v>1015</c:v>
                      </c:pt>
                      <c:pt idx="80">
                        <c:v>725</c:v>
                      </c:pt>
                      <c:pt idx="81">
                        <c:v>725</c:v>
                      </c:pt>
                      <c:pt idx="82">
                        <c:v>585</c:v>
                      </c:pt>
                      <c:pt idx="83">
                        <c:v>395</c:v>
                      </c:pt>
                      <c:pt idx="84">
                        <c:v>225</c:v>
                      </c:pt>
                      <c:pt idx="85">
                        <c:v>225</c:v>
                      </c:pt>
                      <c:pt idx="86">
                        <c:v>135</c:v>
                      </c:pt>
                      <c:pt idx="87">
                        <c:v>2070</c:v>
                      </c:pt>
                      <c:pt idx="88">
                        <c:v>1830</c:v>
                      </c:pt>
                      <c:pt idx="89">
                        <c:v>1830</c:v>
                      </c:pt>
                      <c:pt idx="90">
                        <c:v>1610</c:v>
                      </c:pt>
                      <c:pt idx="91">
                        <c:v>1610</c:v>
                      </c:pt>
                      <c:pt idx="92">
                        <c:v>1380</c:v>
                      </c:pt>
                      <c:pt idx="93">
                        <c:v>1300</c:v>
                      </c:pt>
                      <c:pt idx="94">
                        <c:v>1116</c:v>
                      </c:pt>
                      <c:pt idx="95">
                        <c:v>842</c:v>
                      </c:pt>
                      <c:pt idx="96">
                        <c:v>842</c:v>
                      </c:pt>
                      <c:pt idx="97">
                        <c:v>782</c:v>
                      </c:pt>
                      <c:pt idx="98">
                        <c:v>541</c:v>
                      </c:pt>
                      <c:pt idx="99">
                        <c:v>381</c:v>
                      </c:pt>
                      <c:pt idx="100">
                        <c:v>381</c:v>
                      </c:pt>
                      <c:pt idx="101">
                        <c:v>129</c:v>
                      </c:pt>
                      <c:pt idx="102">
                        <c:v>1978</c:v>
                      </c:pt>
                      <c:pt idx="103">
                        <c:v>1968</c:v>
                      </c:pt>
                      <c:pt idx="104">
                        <c:v>1968</c:v>
                      </c:pt>
                      <c:pt idx="105">
                        <c:v>1758</c:v>
                      </c:pt>
                      <c:pt idx="106">
                        <c:v>1758</c:v>
                      </c:pt>
                      <c:pt idx="107">
                        <c:v>1584</c:v>
                      </c:pt>
                      <c:pt idx="108">
                        <c:v>1564</c:v>
                      </c:pt>
                      <c:pt idx="109">
                        <c:v>1364</c:v>
                      </c:pt>
                      <c:pt idx="110">
                        <c:v>1024</c:v>
                      </c:pt>
                      <c:pt idx="111">
                        <c:v>894</c:v>
                      </c:pt>
                      <c:pt idx="112">
                        <c:v>804</c:v>
                      </c:pt>
                      <c:pt idx="113">
                        <c:v>330</c:v>
                      </c:pt>
                      <c:pt idx="114">
                        <c:v>330</c:v>
                      </c:pt>
                      <c:pt idx="115">
                        <c:v>160</c:v>
                      </c:pt>
                      <c:pt idx="116">
                        <c:v>-34</c:v>
                      </c:pt>
                      <c:pt idx="117">
                        <c:v>1926</c:v>
                      </c:pt>
                      <c:pt idx="118">
                        <c:v>1763</c:v>
                      </c:pt>
                      <c:pt idx="119">
                        <c:v>1623</c:v>
                      </c:pt>
                      <c:pt idx="120">
                        <c:v>1623</c:v>
                      </c:pt>
                      <c:pt idx="121">
                        <c:v>1573</c:v>
                      </c:pt>
                      <c:pt idx="122">
                        <c:v>1439</c:v>
                      </c:pt>
                      <c:pt idx="123">
                        <c:v>1357</c:v>
                      </c:pt>
                      <c:pt idx="124">
                        <c:v>1247</c:v>
                      </c:pt>
                      <c:pt idx="125">
                        <c:v>1027</c:v>
                      </c:pt>
                      <c:pt idx="126">
                        <c:v>923</c:v>
                      </c:pt>
                      <c:pt idx="127">
                        <c:v>633</c:v>
                      </c:pt>
                      <c:pt idx="128">
                        <c:v>443</c:v>
                      </c:pt>
                      <c:pt idx="129">
                        <c:v>223</c:v>
                      </c:pt>
                      <c:pt idx="130">
                        <c:v>223</c:v>
                      </c:pt>
                      <c:pt idx="131">
                        <c:v>63</c:v>
                      </c:pt>
                      <c:pt idx="132">
                        <c:v>33</c:v>
                      </c:pt>
                      <c:pt idx="133">
                        <c:v>2000</c:v>
                      </c:pt>
                      <c:pt idx="134">
                        <c:v>1476</c:v>
                      </c:pt>
                    </c:numCache>
                  </c:numRef>
                </c:val>
                <c:smooth val="0"/>
                <c:extLst xmlns:c15="http://schemas.microsoft.com/office/drawing/2012/chart">
                  <c:ext xmlns:c16="http://schemas.microsoft.com/office/drawing/2014/chart" uri="{C3380CC4-5D6E-409C-BE32-E72D297353CC}">
                    <c16:uniqueId val="{00000003-6DFA-44C8-BD9D-A34DAA0D0D02}"/>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Report!$N$1</c15:sqref>
                        </c15:formulaRef>
                      </c:ext>
                    </c:extLst>
                    <c:strCache>
                      <c:ptCount val="1"/>
                      <c:pt idx="0">
                        <c:v> Cash </c:v>
                      </c:pt>
                    </c:strCache>
                  </c:strRef>
                </c:tx>
                <c:spPr>
                  <a:ln w="28575" cap="rnd">
                    <a:solidFill>
                      <a:schemeClr val="accent5">
                        <a:tint val="54000"/>
                      </a:schemeClr>
                    </a:solidFill>
                    <a:round/>
                  </a:ln>
                  <a:effectLst/>
                </c:spPr>
                <c:marker>
                  <c:symbol val="none"/>
                </c:marker>
                <c:cat>
                  <c:multiLvlStrRef>
                    <c:extLst xmlns:c15="http://schemas.microsoft.com/office/drawing/2012/chart">
                      <c:ext xmlns:c15="http://schemas.microsoft.com/office/drawing/2012/chart" uri="{02D57815-91ED-43cb-92C2-25804820EDAC}">
                        <c15:formulaRef>
                          <c15:sqref>Report!$A:$B</c15:sqref>
                        </c15:formulaRef>
                      </c:ext>
                    </c:extLst>
                    <c:multiLvlStrCache>
                      <c:ptCount val="136"/>
                      <c:lvl>
                        <c:pt idx="0">
                          <c:v>Month</c:v>
                        </c:pt>
                        <c:pt idx="1">
                          <c:v>December</c:v>
                        </c:pt>
                        <c:pt idx="2">
                          <c:v>December</c:v>
                        </c:pt>
                        <c:pt idx="3">
                          <c:v>December</c:v>
                        </c:pt>
                        <c:pt idx="4">
                          <c:v>December</c:v>
                        </c:pt>
                        <c:pt idx="5">
                          <c:v>December</c:v>
                        </c:pt>
                        <c:pt idx="6">
                          <c:v>December</c:v>
                        </c:pt>
                        <c:pt idx="7">
                          <c:v>December</c:v>
                        </c:pt>
                        <c:pt idx="8">
                          <c:v>December</c:v>
                        </c:pt>
                        <c:pt idx="9">
                          <c:v>December</c:v>
                        </c:pt>
                        <c:pt idx="10">
                          <c:v>December</c:v>
                        </c:pt>
                        <c:pt idx="11">
                          <c:v>December</c:v>
                        </c:pt>
                        <c:pt idx="12">
                          <c:v>December</c:v>
                        </c:pt>
                        <c:pt idx="13">
                          <c:v>December</c:v>
                        </c:pt>
                        <c:pt idx="14">
                          <c:v>January</c:v>
                        </c:pt>
                        <c:pt idx="15">
                          <c:v>January</c:v>
                        </c:pt>
                        <c:pt idx="16">
                          <c:v>January</c:v>
                        </c:pt>
                        <c:pt idx="17">
                          <c:v>January</c:v>
                        </c:pt>
                        <c:pt idx="18">
                          <c:v>January</c:v>
                        </c:pt>
                        <c:pt idx="19">
                          <c:v>January</c:v>
                        </c:pt>
                        <c:pt idx="20">
                          <c:v>January</c:v>
                        </c:pt>
                        <c:pt idx="21">
                          <c:v>January</c:v>
                        </c:pt>
                        <c:pt idx="22">
                          <c:v>January</c:v>
                        </c:pt>
                        <c:pt idx="23">
                          <c:v>January</c:v>
                        </c:pt>
                        <c:pt idx="24">
                          <c:v>January</c:v>
                        </c:pt>
                        <c:pt idx="25">
                          <c:v>January</c:v>
                        </c:pt>
                        <c:pt idx="26">
                          <c:v>January</c:v>
                        </c:pt>
                        <c:pt idx="27">
                          <c:v>January</c:v>
                        </c:pt>
                        <c:pt idx="28">
                          <c:v>January</c:v>
                        </c:pt>
                        <c:pt idx="29">
                          <c:v>January</c:v>
                        </c:pt>
                        <c:pt idx="30">
                          <c:v>January</c:v>
                        </c:pt>
                        <c:pt idx="31">
                          <c:v>January</c:v>
                        </c:pt>
                        <c:pt idx="32">
                          <c:v>January</c:v>
                        </c:pt>
                        <c:pt idx="33">
                          <c:v>January</c:v>
                        </c:pt>
                        <c:pt idx="34">
                          <c:v>January</c:v>
                        </c:pt>
                        <c:pt idx="35">
                          <c:v>January</c:v>
                        </c:pt>
                        <c:pt idx="36">
                          <c:v>January</c:v>
                        </c:pt>
                        <c:pt idx="37">
                          <c:v>January</c:v>
                        </c:pt>
                        <c:pt idx="38">
                          <c:v>January</c:v>
                        </c:pt>
                        <c:pt idx="39">
                          <c:v>January</c:v>
                        </c:pt>
                        <c:pt idx="40">
                          <c:v>January</c:v>
                        </c:pt>
                        <c:pt idx="41">
                          <c:v>January</c:v>
                        </c:pt>
                        <c:pt idx="42">
                          <c:v>January</c:v>
                        </c:pt>
                        <c:pt idx="43">
                          <c:v>January</c:v>
                        </c:pt>
                        <c:pt idx="44">
                          <c:v>January</c:v>
                        </c:pt>
                        <c:pt idx="45">
                          <c:v>January</c:v>
                        </c:pt>
                        <c:pt idx="46">
                          <c:v>January</c:v>
                        </c:pt>
                        <c:pt idx="47">
                          <c:v>January</c:v>
                        </c:pt>
                        <c:pt idx="48">
                          <c:v>January</c:v>
                        </c:pt>
                        <c:pt idx="49">
                          <c:v>January</c:v>
                        </c:pt>
                        <c:pt idx="50">
                          <c:v>January</c:v>
                        </c:pt>
                        <c:pt idx="51">
                          <c:v>January</c:v>
                        </c:pt>
                        <c:pt idx="52">
                          <c:v>January</c:v>
                        </c:pt>
                        <c:pt idx="53">
                          <c:v>January</c:v>
                        </c:pt>
                        <c:pt idx="54">
                          <c:v>January</c:v>
                        </c:pt>
                        <c:pt idx="55">
                          <c:v>January</c:v>
                        </c:pt>
                        <c:pt idx="56">
                          <c:v>February</c:v>
                        </c:pt>
                        <c:pt idx="57">
                          <c:v>February</c:v>
                        </c:pt>
                        <c:pt idx="58">
                          <c:v>February</c:v>
                        </c:pt>
                        <c:pt idx="59">
                          <c:v>February</c:v>
                        </c:pt>
                        <c:pt idx="60">
                          <c:v>February</c:v>
                        </c:pt>
                        <c:pt idx="61">
                          <c:v>February</c:v>
                        </c:pt>
                        <c:pt idx="62">
                          <c:v>February</c:v>
                        </c:pt>
                        <c:pt idx="63">
                          <c:v>February</c:v>
                        </c:pt>
                        <c:pt idx="64">
                          <c:v>February</c:v>
                        </c:pt>
                        <c:pt idx="65">
                          <c:v>February</c:v>
                        </c:pt>
                        <c:pt idx="66">
                          <c:v>February</c:v>
                        </c:pt>
                        <c:pt idx="67">
                          <c:v>February</c:v>
                        </c:pt>
                        <c:pt idx="68">
                          <c:v>February</c:v>
                        </c:pt>
                        <c:pt idx="69">
                          <c:v>February</c:v>
                        </c:pt>
                        <c:pt idx="70">
                          <c:v>February</c:v>
                        </c:pt>
                        <c:pt idx="71">
                          <c:v>February</c:v>
                        </c:pt>
                        <c:pt idx="72">
                          <c:v>February</c:v>
                        </c:pt>
                        <c:pt idx="73">
                          <c:v>February</c:v>
                        </c:pt>
                        <c:pt idx="74">
                          <c:v>February</c:v>
                        </c:pt>
                        <c:pt idx="75">
                          <c:v>February</c:v>
                        </c:pt>
                        <c:pt idx="76">
                          <c:v>February</c:v>
                        </c:pt>
                        <c:pt idx="77">
                          <c:v>February</c:v>
                        </c:pt>
                        <c:pt idx="78">
                          <c:v>February</c:v>
                        </c:pt>
                        <c:pt idx="79">
                          <c:v>February</c:v>
                        </c:pt>
                        <c:pt idx="80">
                          <c:v>February</c:v>
                        </c:pt>
                        <c:pt idx="81">
                          <c:v>February</c:v>
                        </c:pt>
                        <c:pt idx="82">
                          <c:v>February</c:v>
                        </c:pt>
                        <c:pt idx="83">
                          <c:v>February</c:v>
                        </c:pt>
                        <c:pt idx="84">
                          <c:v>February</c:v>
                        </c:pt>
                        <c:pt idx="85">
                          <c:v>February</c:v>
                        </c:pt>
                        <c:pt idx="86">
                          <c:v>February</c:v>
                        </c:pt>
                        <c:pt idx="87">
                          <c:v>February</c:v>
                        </c:pt>
                        <c:pt idx="88">
                          <c:v>February</c:v>
                        </c:pt>
                        <c:pt idx="89">
                          <c:v>February</c:v>
                        </c:pt>
                        <c:pt idx="90">
                          <c:v>February</c:v>
                        </c:pt>
                        <c:pt idx="91">
                          <c:v>February</c:v>
                        </c:pt>
                        <c:pt idx="92">
                          <c:v>February</c:v>
                        </c:pt>
                        <c:pt idx="93">
                          <c:v>February</c:v>
                        </c:pt>
                        <c:pt idx="94">
                          <c:v>February</c:v>
                        </c:pt>
                        <c:pt idx="95">
                          <c:v>February</c:v>
                        </c:pt>
                        <c:pt idx="96">
                          <c:v>February</c:v>
                        </c:pt>
                        <c:pt idx="97">
                          <c:v>February</c:v>
                        </c:pt>
                        <c:pt idx="98">
                          <c:v>February</c:v>
                        </c:pt>
                        <c:pt idx="99">
                          <c:v>March</c:v>
                        </c:pt>
                        <c:pt idx="100">
                          <c:v>March</c:v>
                        </c:pt>
                        <c:pt idx="101">
                          <c:v>March</c:v>
                        </c:pt>
                        <c:pt idx="102">
                          <c:v>March</c:v>
                        </c:pt>
                        <c:pt idx="103">
                          <c:v>March</c:v>
                        </c:pt>
                        <c:pt idx="104">
                          <c:v>March</c:v>
                        </c:pt>
                        <c:pt idx="105">
                          <c:v>March</c:v>
                        </c:pt>
                        <c:pt idx="106">
                          <c:v>March</c:v>
                        </c:pt>
                        <c:pt idx="107">
                          <c:v>March</c:v>
                        </c:pt>
                        <c:pt idx="108">
                          <c:v>March</c:v>
                        </c:pt>
                        <c:pt idx="109">
                          <c:v>March</c:v>
                        </c:pt>
                        <c:pt idx="110">
                          <c:v>March</c:v>
                        </c:pt>
                        <c:pt idx="111">
                          <c:v>March</c:v>
                        </c:pt>
                        <c:pt idx="112">
                          <c:v>March</c:v>
                        </c:pt>
                        <c:pt idx="113">
                          <c:v>March</c:v>
                        </c:pt>
                        <c:pt idx="114">
                          <c:v>March</c:v>
                        </c:pt>
                        <c:pt idx="115">
                          <c:v>March</c:v>
                        </c:pt>
                        <c:pt idx="116">
                          <c:v>March</c:v>
                        </c:pt>
                        <c:pt idx="117">
                          <c:v>March</c:v>
                        </c:pt>
                        <c:pt idx="118">
                          <c:v>March</c:v>
                        </c:pt>
                        <c:pt idx="119">
                          <c:v>March</c:v>
                        </c:pt>
                        <c:pt idx="120">
                          <c:v>March</c:v>
                        </c:pt>
                        <c:pt idx="121">
                          <c:v>March</c:v>
                        </c:pt>
                        <c:pt idx="122">
                          <c:v>March</c:v>
                        </c:pt>
                        <c:pt idx="123">
                          <c:v>March</c:v>
                        </c:pt>
                        <c:pt idx="124">
                          <c:v>March</c:v>
                        </c:pt>
                        <c:pt idx="125">
                          <c:v>March</c:v>
                        </c:pt>
                        <c:pt idx="126">
                          <c:v>March</c:v>
                        </c:pt>
                        <c:pt idx="127">
                          <c:v>March</c:v>
                        </c:pt>
                        <c:pt idx="128">
                          <c:v>March</c:v>
                        </c:pt>
                        <c:pt idx="129">
                          <c:v>March</c:v>
                        </c:pt>
                        <c:pt idx="130">
                          <c:v>March</c:v>
                        </c:pt>
                        <c:pt idx="131">
                          <c:v>March</c:v>
                        </c:pt>
                        <c:pt idx="132">
                          <c:v>March</c:v>
                        </c:pt>
                        <c:pt idx="133">
                          <c:v>March</c:v>
                        </c:pt>
                        <c:pt idx="134">
                          <c:v>March</c:v>
                        </c:pt>
                        <c:pt idx="135">
                          <c:v>March</c:v>
                        </c:pt>
                      </c:lvl>
                      <c:lvl>
                        <c:pt idx="0">
                          <c:v>Date</c:v>
                        </c:pt>
                        <c:pt idx="1">
                          <c:v>23</c:v>
                        </c:pt>
                        <c:pt idx="2">
                          <c:v>24</c:v>
                        </c:pt>
                        <c:pt idx="3">
                          <c:v>24</c:v>
                        </c:pt>
                        <c:pt idx="4">
                          <c:v>25</c:v>
                        </c:pt>
                        <c:pt idx="5">
                          <c:v>25</c:v>
                        </c:pt>
                        <c:pt idx="6">
                          <c:v>26</c:v>
                        </c:pt>
                        <c:pt idx="7">
                          <c:v>26</c:v>
                        </c:pt>
                        <c:pt idx="8">
                          <c:v>27</c:v>
                        </c:pt>
                        <c:pt idx="9">
                          <c:v>28</c:v>
                        </c:pt>
                        <c:pt idx="10">
                          <c:v>29</c:v>
                        </c:pt>
                        <c:pt idx="11">
                          <c:v>30</c:v>
                        </c:pt>
                        <c:pt idx="12">
                          <c:v>30</c:v>
                        </c:pt>
                        <c:pt idx="13">
                          <c:v>31</c:v>
                        </c:pt>
                        <c:pt idx="14">
                          <c:v>01</c:v>
                        </c:pt>
                        <c:pt idx="15">
                          <c:v>01</c:v>
                        </c:pt>
                        <c:pt idx="16">
                          <c:v>02</c:v>
                        </c:pt>
                        <c:pt idx="17">
                          <c:v>03</c:v>
                        </c:pt>
                        <c:pt idx="18">
                          <c:v>04</c:v>
                        </c:pt>
                        <c:pt idx="19">
                          <c:v>05</c:v>
                        </c:pt>
                        <c:pt idx="20">
                          <c:v>06</c:v>
                        </c:pt>
                        <c:pt idx="21">
                          <c:v>06</c:v>
                        </c:pt>
                        <c:pt idx="22">
                          <c:v>07</c:v>
                        </c:pt>
                        <c:pt idx="23">
                          <c:v>08</c:v>
                        </c:pt>
                        <c:pt idx="24">
                          <c:v>09</c:v>
                        </c:pt>
                        <c:pt idx="25">
                          <c:v>09</c:v>
                        </c:pt>
                        <c:pt idx="26">
                          <c:v>09</c:v>
                        </c:pt>
                        <c:pt idx="27">
                          <c:v>10</c:v>
                        </c:pt>
                        <c:pt idx="28">
                          <c:v>11</c:v>
                        </c:pt>
                        <c:pt idx="29">
                          <c:v>12</c:v>
                        </c:pt>
                        <c:pt idx="30">
                          <c:v>12</c:v>
                        </c:pt>
                        <c:pt idx="31">
                          <c:v>13</c:v>
                        </c:pt>
                        <c:pt idx="32">
                          <c:v>13</c:v>
                        </c:pt>
                        <c:pt idx="33">
                          <c:v>14</c:v>
                        </c:pt>
                        <c:pt idx="34">
                          <c:v>15</c:v>
                        </c:pt>
                        <c:pt idx="35">
                          <c:v>15</c:v>
                        </c:pt>
                        <c:pt idx="36">
                          <c:v>15</c:v>
                        </c:pt>
                        <c:pt idx="37">
                          <c:v>16</c:v>
                        </c:pt>
                        <c:pt idx="38">
                          <c:v>17</c:v>
                        </c:pt>
                        <c:pt idx="39">
                          <c:v>17</c:v>
                        </c:pt>
                        <c:pt idx="40">
                          <c:v>18</c:v>
                        </c:pt>
                        <c:pt idx="41">
                          <c:v>18</c:v>
                        </c:pt>
                        <c:pt idx="42">
                          <c:v>18</c:v>
                        </c:pt>
                        <c:pt idx="43">
                          <c:v>19</c:v>
                        </c:pt>
                        <c:pt idx="44">
                          <c:v>20</c:v>
                        </c:pt>
                        <c:pt idx="45">
                          <c:v>20</c:v>
                        </c:pt>
                        <c:pt idx="46">
                          <c:v>25</c:v>
                        </c:pt>
                        <c:pt idx="47">
                          <c:v>25</c:v>
                        </c:pt>
                        <c:pt idx="48">
                          <c:v>27</c:v>
                        </c:pt>
                        <c:pt idx="49">
                          <c:v>28</c:v>
                        </c:pt>
                        <c:pt idx="50">
                          <c:v>29</c:v>
                        </c:pt>
                        <c:pt idx="51">
                          <c:v>29</c:v>
                        </c:pt>
                        <c:pt idx="52">
                          <c:v>29</c:v>
                        </c:pt>
                        <c:pt idx="53">
                          <c:v>30</c:v>
                        </c:pt>
                        <c:pt idx="54">
                          <c:v>31</c:v>
                        </c:pt>
                        <c:pt idx="55">
                          <c:v>31</c:v>
                        </c:pt>
                        <c:pt idx="56">
                          <c:v>01</c:v>
                        </c:pt>
                        <c:pt idx="57">
                          <c:v>02</c:v>
                        </c:pt>
                        <c:pt idx="58">
                          <c:v>04</c:v>
                        </c:pt>
                        <c:pt idx="59">
                          <c:v>05</c:v>
                        </c:pt>
                        <c:pt idx="60">
                          <c:v>05</c:v>
                        </c:pt>
                        <c:pt idx="61">
                          <c:v>06</c:v>
                        </c:pt>
                        <c:pt idx="62">
                          <c:v>06</c:v>
                        </c:pt>
                        <c:pt idx="63">
                          <c:v>07</c:v>
                        </c:pt>
                        <c:pt idx="64">
                          <c:v>07</c:v>
                        </c:pt>
                        <c:pt idx="65">
                          <c:v>08</c:v>
                        </c:pt>
                        <c:pt idx="66">
                          <c:v>08</c:v>
                        </c:pt>
                        <c:pt idx="67">
                          <c:v>09</c:v>
                        </c:pt>
                        <c:pt idx="68">
                          <c:v>09</c:v>
                        </c:pt>
                        <c:pt idx="69">
                          <c:v>09</c:v>
                        </c:pt>
                        <c:pt idx="70">
                          <c:v>10</c:v>
                        </c:pt>
                        <c:pt idx="71">
                          <c:v>11</c:v>
                        </c:pt>
                        <c:pt idx="72">
                          <c:v>13</c:v>
                        </c:pt>
                        <c:pt idx="73">
                          <c:v>14</c:v>
                        </c:pt>
                        <c:pt idx="74">
                          <c:v>14</c:v>
                        </c:pt>
                        <c:pt idx="75">
                          <c:v>14</c:v>
                        </c:pt>
                        <c:pt idx="76">
                          <c:v>14</c:v>
                        </c:pt>
                        <c:pt idx="77">
                          <c:v>15</c:v>
                        </c:pt>
                        <c:pt idx="78">
                          <c:v>16</c:v>
                        </c:pt>
                        <c:pt idx="79">
                          <c:v>17</c:v>
                        </c:pt>
                        <c:pt idx="80">
                          <c:v>18</c:v>
                        </c:pt>
                        <c:pt idx="81">
                          <c:v>19</c:v>
                        </c:pt>
                        <c:pt idx="82">
                          <c:v>19</c:v>
                        </c:pt>
                        <c:pt idx="83">
                          <c:v>20</c:v>
                        </c:pt>
                        <c:pt idx="84">
                          <c:v>21</c:v>
                        </c:pt>
                        <c:pt idx="85">
                          <c:v>22</c:v>
                        </c:pt>
                        <c:pt idx="86">
                          <c:v>23</c:v>
                        </c:pt>
                        <c:pt idx="87">
                          <c:v>23</c:v>
                        </c:pt>
                        <c:pt idx="88">
                          <c:v>23</c:v>
                        </c:pt>
                        <c:pt idx="89">
                          <c:v>24</c:v>
                        </c:pt>
                        <c:pt idx="90">
                          <c:v>24</c:v>
                        </c:pt>
                        <c:pt idx="91">
                          <c:v>25</c:v>
                        </c:pt>
                        <c:pt idx="92">
                          <c:v>25</c:v>
                        </c:pt>
                        <c:pt idx="93">
                          <c:v>26</c:v>
                        </c:pt>
                        <c:pt idx="94">
                          <c:v>27</c:v>
                        </c:pt>
                        <c:pt idx="95">
                          <c:v>27</c:v>
                        </c:pt>
                        <c:pt idx="96">
                          <c:v>28</c:v>
                        </c:pt>
                        <c:pt idx="97">
                          <c:v>29</c:v>
                        </c:pt>
                        <c:pt idx="98">
                          <c:v>29</c:v>
                        </c:pt>
                        <c:pt idx="99">
                          <c:v>01</c:v>
                        </c:pt>
                        <c:pt idx="100">
                          <c:v>02</c:v>
                        </c:pt>
                        <c:pt idx="101">
                          <c:v>03</c:v>
                        </c:pt>
                        <c:pt idx="102">
                          <c:v>03</c:v>
                        </c:pt>
                        <c:pt idx="103">
                          <c:v>03</c:v>
                        </c:pt>
                        <c:pt idx="104">
                          <c:v>03</c:v>
                        </c:pt>
                        <c:pt idx="105">
                          <c:v>03</c:v>
                        </c:pt>
                        <c:pt idx="106">
                          <c:v>03</c:v>
                        </c:pt>
                        <c:pt idx="107">
                          <c:v>03</c:v>
                        </c:pt>
                        <c:pt idx="108">
                          <c:v>04</c:v>
                        </c:pt>
                        <c:pt idx="109">
                          <c:v>05</c:v>
                        </c:pt>
                        <c:pt idx="110">
                          <c:v>05</c:v>
                        </c:pt>
                        <c:pt idx="111">
                          <c:v>05</c:v>
                        </c:pt>
                        <c:pt idx="112">
                          <c:v>06</c:v>
                        </c:pt>
                        <c:pt idx="113">
                          <c:v>07</c:v>
                        </c:pt>
                        <c:pt idx="114">
                          <c:v>08</c:v>
                        </c:pt>
                        <c:pt idx="115">
                          <c:v>08</c:v>
                        </c:pt>
                        <c:pt idx="116">
                          <c:v>09</c:v>
                        </c:pt>
                        <c:pt idx="117">
                          <c:v>10</c:v>
                        </c:pt>
                        <c:pt idx="118">
                          <c:v>10</c:v>
                        </c:pt>
                        <c:pt idx="119">
                          <c:v>11</c:v>
                        </c:pt>
                        <c:pt idx="120">
                          <c:v>12</c:v>
                        </c:pt>
                        <c:pt idx="121">
                          <c:v>12</c:v>
                        </c:pt>
                        <c:pt idx="122">
                          <c:v>13</c:v>
                        </c:pt>
                        <c:pt idx="123">
                          <c:v>13</c:v>
                        </c:pt>
                        <c:pt idx="124">
                          <c:v>14</c:v>
                        </c:pt>
                        <c:pt idx="125">
                          <c:v>14</c:v>
                        </c:pt>
                        <c:pt idx="126">
                          <c:v>15</c:v>
                        </c:pt>
                        <c:pt idx="127">
                          <c:v>16</c:v>
                        </c:pt>
                        <c:pt idx="128">
                          <c:v>17</c:v>
                        </c:pt>
                        <c:pt idx="129">
                          <c:v>18</c:v>
                        </c:pt>
                        <c:pt idx="130">
                          <c:v>19</c:v>
                        </c:pt>
                        <c:pt idx="131">
                          <c:v>19</c:v>
                        </c:pt>
                        <c:pt idx="132">
                          <c:v>20</c:v>
                        </c:pt>
                        <c:pt idx="133">
                          <c:v>20</c:v>
                        </c:pt>
                        <c:pt idx="134">
                          <c:v>21</c:v>
                        </c:pt>
                        <c:pt idx="135">
                          <c:v>21</c:v>
                        </c:pt>
                      </c:lvl>
                    </c:multiLvlStrCache>
                  </c:multiLvlStrRef>
                </c:cat>
                <c:val>
                  <c:numRef>
                    <c:extLst xmlns:c15="http://schemas.microsoft.com/office/drawing/2012/chart">
                      <c:ext xmlns:c15="http://schemas.microsoft.com/office/drawing/2012/chart" uri="{02D57815-91ED-43cb-92C2-25804820EDAC}">
                        <c15:formulaRef>
                          <c15:sqref>Report!$N$2:$N$136</c15:sqref>
                        </c15:formulaRef>
                      </c:ext>
                    </c:extLst>
                    <c:numCache>
                      <c:formatCode>_("₹"* #,##0_);_("₹"* \(#,##0\);_("₹"* "-"_);_(@_)</c:formatCode>
                      <c:ptCount val="1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smooth val="0"/>
                <c:extLst xmlns:c15="http://schemas.microsoft.com/office/drawing/2012/chart">
                  <c:ext xmlns:c16="http://schemas.microsoft.com/office/drawing/2014/chart" uri="{C3380CC4-5D6E-409C-BE32-E72D297353CC}">
                    <c16:uniqueId val="{00000004-6DFA-44C8-BD9D-A34DAA0D0D02}"/>
                  </c:ext>
                </c:extLst>
              </c15:ser>
            </c15:filteredLineSeries>
          </c:ext>
        </c:extLst>
      </c:lineChart>
      <c:catAx>
        <c:axId val="118398099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981471"/>
        <c:crosses val="autoZero"/>
        <c:auto val="0"/>
        <c:lblAlgn val="ctr"/>
        <c:lblOffset val="100"/>
        <c:tickMarkSkip val="7"/>
        <c:noMultiLvlLbl val="0"/>
      </c:catAx>
      <c:valAx>
        <c:axId val="118398147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3980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_xlchart.v1.1</cx:f>
      </cx:strDim>
      <cx:numDim type="size">
        <cx:f dir="row">_xlchart.v1.0</cx:f>
      </cx:numDim>
    </cx:data>
  </cx:chartData>
  <cx:chart>
    <cx:plotArea>
      <cx:plotAreaRegion>
        <cx:series layoutId="treemap" uniqueId="{9DB1CB0E-741E-4741-9505-8A379E517C7C}">
          <cx:dataLabels pos="ctr">
            <cx:numFmt formatCode="_ ₹ * #,##0_ ;_ ₹ * -#,##0_ ;_ ₹ * &quot;-&quot;_ ;_ @_ " sourceLinked="0"/>
            <cx:visibility seriesName="0" categoryName="1" value="1"/>
            <cx:separator>
</cx:separator>
          </cx:dataLabels>
          <cx:dataId val="0"/>
          <cx:layoutPr>
            <cx:parentLabelLayout val="overlapping"/>
          </cx:layoutPr>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16">
  <cs:axisTitle>
    <cs:lnRef idx="0"/>
    <cs:fillRef idx="0"/>
    <cs:effectRef idx="0"/>
    <cs:fontRef idx="minor">
      <a:schemeClr val="tx1">
        <a:lumMod val="65000"/>
        <a:lumOff val="35000"/>
      </a:schemeClr>
    </cs:fontRef>
    <cs:spPr>
      <a:solidFill>
        <a:schemeClr val="bg1">
          <a:lumMod val="65000"/>
        </a:schemeClr>
      </a:solidFill>
      <a:ln>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1000" b="1"/>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600" b="1" cap="all"/>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microsoft.com/office/2014/relationships/chartEx" Target="../charts/chartEx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175260</xdr:colOff>
      <xdr:row>19</xdr:row>
      <xdr:rowOff>83820</xdr:rowOff>
    </xdr:from>
    <xdr:to>
      <xdr:col>10</xdr:col>
      <xdr:colOff>533400</xdr:colOff>
      <xdr:row>41</xdr:row>
      <xdr:rowOff>93306</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19</xdr:col>
      <xdr:colOff>156910</xdr:colOff>
      <xdr:row>0</xdr:row>
      <xdr:rowOff>7620</xdr:rowOff>
    </xdr:from>
    <xdr:to>
      <xdr:col>23</xdr:col>
      <xdr:colOff>193766</xdr:colOff>
      <xdr:row>18</xdr:row>
      <xdr:rowOff>15551</xdr:rowOff>
    </xdr:to>
    <mc:AlternateContent xmlns:mc="http://schemas.openxmlformats.org/markup-compatibility/2006" xmlns:a14="http://schemas.microsoft.com/office/drawing/2010/main">
      <mc:Choice Requires="a14">
        <xdr:graphicFrame macro="">
          <xdr:nvGraphicFramePr>
            <xdr:cNvPr id="4" name="Month">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224502" y="7620"/>
              <a:ext cx="1312040" cy="33669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6</xdr:col>
      <xdr:colOff>594360</xdr:colOff>
      <xdr:row>18</xdr:row>
      <xdr:rowOff>15240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15240</xdr:colOff>
      <xdr:row>0</xdr:row>
      <xdr:rowOff>171072</xdr:rowOff>
    </xdr:from>
    <xdr:to>
      <xdr:col>17</xdr:col>
      <xdr:colOff>236220</xdr:colOff>
      <xdr:row>18</xdr:row>
      <xdr:rowOff>91140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426720</xdr:colOff>
      <xdr:row>0</xdr:row>
      <xdr:rowOff>0</xdr:rowOff>
    </xdr:from>
    <xdr:to>
      <xdr:col>19</xdr:col>
      <xdr:colOff>162819</xdr:colOff>
      <xdr:row>18</xdr:row>
      <xdr:rowOff>15551</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0783700" y="0"/>
              <a:ext cx="1446711" cy="33745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0</xdr:colOff>
          <xdr:row>21</xdr:row>
          <xdr:rowOff>0</xdr:rowOff>
        </xdr:from>
        <xdr:to>
          <xdr:col>15</xdr:col>
          <xdr:colOff>99060</xdr:colOff>
          <xdr:row>21</xdr:row>
          <xdr:rowOff>236220</xdr:rowOff>
        </xdr:to>
        <xdr:sp macro="" textlink="">
          <xdr:nvSpPr>
            <xdr:cNvPr id="1025" name="Text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357673</xdr:colOff>
      <xdr:row>6</xdr:row>
      <xdr:rowOff>178836</xdr:rowOff>
    </xdr:from>
    <xdr:to>
      <xdr:col>3</xdr:col>
      <xdr:colOff>342122</xdr:colOff>
      <xdr:row>13</xdr:row>
      <xdr:rowOff>69979</xdr:rowOff>
    </xdr:to>
    <xdr:sp macro="" textlink="C11">
      <xdr:nvSpPr>
        <xdr:cNvPr id="7" name="Oval 6">
          <a:extLst>
            <a:ext uri="{FF2B5EF4-FFF2-40B4-BE49-F238E27FC236}">
              <a16:creationId xmlns:a16="http://schemas.microsoft.com/office/drawing/2014/main" id="{00000000-0008-0000-0000-000007000000}"/>
            </a:ext>
          </a:extLst>
        </xdr:cNvPr>
        <xdr:cNvSpPr/>
      </xdr:nvSpPr>
      <xdr:spPr>
        <a:xfrm>
          <a:off x="962018" y="1282422"/>
          <a:ext cx="2467518" cy="1178660"/>
        </a:xfrm>
        <a:prstGeom prst="ellipse">
          <a:avLst/>
        </a:prstGeom>
        <a:solidFill>
          <a:schemeClr val="bg1"/>
        </a:solidFill>
        <a:ln w="3175">
          <a:solidFill>
            <a:srgbClr val="FF0000"/>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2F9EA2CA-3155-4CF5-8A77-8E55EC78B215}" type="TxLink">
            <a:rPr lang="en-US" sz="1800" b="0" i="0" u="none" strike="noStrike">
              <a:solidFill>
                <a:schemeClr val="accent2"/>
              </a:solidFill>
              <a:latin typeface="Berlin Sans FB" panose="020E0602020502020306" pitchFamily="34" charset="0"/>
              <a:ea typeface="Calibri"/>
              <a:cs typeface="Calibri"/>
            </a:rPr>
            <a:pPr algn="ctr"/>
            <a:t> ₹ 10,800 </a:t>
          </a:fld>
          <a:endParaRPr lang="en-IN" sz="1800">
            <a:solidFill>
              <a:schemeClr val="accent2"/>
            </a:solidFill>
            <a:latin typeface="Berlin Sans FB" panose="020E0602020502020306" pitchFamily="34" charset="0"/>
          </a:endParaRPr>
        </a:p>
      </xdr:txBody>
    </xdr:sp>
    <xdr:clientData/>
  </xdr:twoCellAnchor>
  <xdr:twoCellAnchor>
    <xdr:from>
      <xdr:col>18</xdr:col>
      <xdr:colOff>528734</xdr:colOff>
      <xdr:row>35</xdr:row>
      <xdr:rowOff>23325</xdr:rowOff>
    </xdr:from>
    <xdr:to>
      <xdr:col>26</xdr:col>
      <xdr:colOff>85530</xdr:colOff>
      <xdr:row>38</xdr:row>
      <xdr:rowOff>163284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2034934" y="6485085"/>
              <a:ext cx="2406676" cy="688599"/>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598715</xdr:colOff>
      <xdr:row>0</xdr:row>
      <xdr:rowOff>0</xdr:rowOff>
    </xdr:from>
    <xdr:to>
      <xdr:col>50</xdr:col>
      <xdr:colOff>388620</xdr:colOff>
      <xdr:row>44</xdr:row>
      <xdr:rowOff>62204</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Ojas Hasija" refreshedDate="45374.749222685183" createdVersion="8" refreshedVersion="8" minRefreshableVersion="3" recordCount="136" xr:uid="{A6932CBC-ED4D-4425-8DD4-369A67EDBE5D}">
  <cacheSource type="worksheet">
    <worksheetSource ref="E1:R1048576" sheet="Report"/>
  </cacheSource>
  <cacheFields count="17">
    <cacheField name="Date" numFmtId="164">
      <sharedItems containsNonDate="0" containsDate="1" containsString="0" containsBlank="1" minDate="2023-12-23T00:00:00" maxDate="2024-03-22T00:00:00" count="84">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5T00:00:00"/>
        <d v="2024-01-27T00:00:00"/>
        <d v="2024-01-28T00:00:00"/>
        <d v="2024-01-29T00:00:00"/>
        <d v="2024-01-30T00:00:00"/>
        <d v="2024-01-31T00:00:00"/>
        <d v="2024-02-01T00:00:00"/>
        <d v="2024-02-02T00:00:00"/>
        <d v="2024-02-04T00:00:00"/>
        <d v="2024-02-05T00:00:00"/>
        <d v="2024-02-06T00:00:00"/>
        <d v="2024-02-07T00:00:00"/>
        <d v="2024-02-08T00:00:00"/>
        <d v="2024-02-09T00:00:00"/>
        <d v="2024-02-10T00:00:00"/>
        <d v="2024-02-11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m/>
      </sharedItems>
      <fieldGroup par="15"/>
    </cacheField>
    <cacheField name="Month" numFmtId="0">
      <sharedItems containsBlank="1" count="5">
        <s v="December"/>
        <s v="January"/>
        <s v="February"/>
        <s v="March"/>
        <m/>
      </sharedItems>
    </cacheField>
    <cacheField name="Day" numFmtId="0">
      <sharedItems containsBlank="1"/>
    </cacheField>
    <cacheField name="Category" numFmtId="0">
      <sharedItems containsBlank="1" count="14">
        <s v="Salary"/>
        <s v="Entertainment"/>
        <s v="Food"/>
        <s v="Travelling"/>
        <s v="Transfer"/>
        <s v="Others"/>
        <s v="Rent"/>
        <s v="Utilities "/>
        <s v="Recharge"/>
        <s v="Gifts and Donation"/>
        <s v="Bills and Utilities"/>
        <s v="Personal Care"/>
        <s v="Cashbacks"/>
        <m/>
      </sharedItems>
    </cacheField>
    <cacheField name="Amount" numFmtId="0">
      <sharedItems containsString="0" containsBlank="1" containsNumber="1" containsInteger="1" minValue="10" maxValue="26384"/>
    </cacheField>
    <cacheField name="Type" numFmtId="0">
      <sharedItems containsBlank="1" count="4">
        <s v="Income"/>
        <s v="Expense"/>
        <s v="Transfer"/>
        <m/>
      </sharedItems>
    </cacheField>
    <cacheField name="Bank" numFmtId="0">
      <sharedItems containsBlank="1"/>
    </cacheField>
    <cacheField name="Transfer" numFmtId="0">
      <sharedItems containsBlank="1"/>
    </cacheField>
    <cacheField name="Note" numFmtId="0">
      <sharedItems containsBlank="1"/>
    </cacheField>
    <cacheField name="Balance" numFmtId="42">
      <sharedItems containsString="0" containsBlank="1" containsNumber="1" containsInteger="1" minValue="3727" maxValue="42481"/>
    </cacheField>
    <cacheField name="HDFC" numFmtId="42">
      <sharedItems containsString="0" containsBlank="1" containsNumber="1" containsInteger="1" minValue="360" maxValue="37841"/>
    </cacheField>
    <cacheField name="SBI" numFmtId="42">
      <sharedItems containsString="0" containsBlank="1" containsNumber="1" containsInteger="1" minValue="-4101" maxValue="25621"/>
    </cacheField>
    <cacheField name="UPI Lite" numFmtId="42">
      <sharedItems containsString="0" containsBlank="1" containsNumber="1" containsInteger="1" minValue="-182" maxValue="2757"/>
    </cacheField>
    <cacheField name="Cash" numFmtId="42">
      <sharedItems containsString="0" containsBlank="1" containsNumber="1" containsInteger="1" minValue="0" maxValue="0"/>
    </cacheField>
    <cacheField name="Days (Date)" numFmtId="0" databaseField="0">
      <fieldGroup base="0">
        <rangePr groupBy="days" startDate="2023-12-23T00:00:00" endDate="2024-03-22T00:00:00"/>
        <groupItems count="368">
          <s v="&lt;23-12-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2-03-2024"/>
        </groupItems>
      </fieldGroup>
    </cacheField>
    <cacheField name="Months (Date)" numFmtId="0" databaseField="0">
      <fieldGroup base="0">
        <rangePr groupBy="months" startDate="2023-12-23T00:00:00" endDate="2024-03-22T00:00:00"/>
        <groupItems count="14">
          <s v="&lt;23-12-2023"/>
          <s v="Jan"/>
          <s v="Feb"/>
          <s v="Mar"/>
          <s v="Apr"/>
          <s v="May"/>
          <s v="Jun"/>
          <s v="Jul"/>
          <s v="Aug"/>
          <s v="Sep"/>
          <s v="Oct"/>
          <s v="Nov"/>
          <s v="Dec"/>
          <s v="&gt;22-03-2024"/>
        </groupItems>
      </fieldGroup>
    </cacheField>
    <cacheField name="Field1" numFmtId="0" formula="Amount" databaseField="0"/>
  </cacheFields>
  <extLst>
    <ext xmlns:x14="http://schemas.microsoft.com/office/spreadsheetml/2009/9/main" uri="{725AE2AE-9491-48be-B2B4-4EB974FC3084}">
      <x14:pivotCacheDefinition pivotCacheId="10442898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x v="0"/>
    <x v="0"/>
    <s v="Saturday"/>
    <x v="0"/>
    <n v="25677"/>
    <x v="0"/>
    <s v="HDFC"/>
    <s v="None"/>
    <s v="None"/>
    <n v="31678"/>
    <n v="25348"/>
    <n v="6313"/>
    <n v="17"/>
    <n v="0"/>
  </r>
  <r>
    <x v="1"/>
    <x v="0"/>
    <s v="Sunday"/>
    <x v="1"/>
    <n v="199"/>
    <x v="1"/>
    <s v="SBI"/>
    <s v="None"/>
    <s v="None"/>
    <n v="31479"/>
    <n v="25348"/>
    <n v="6114"/>
    <n v="17"/>
    <n v="0"/>
  </r>
  <r>
    <x v="1"/>
    <x v="0"/>
    <s v="Sunday"/>
    <x v="2"/>
    <n v="204"/>
    <x v="1"/>
    <s v="HDFC"/>
    <s v="None"/>
    <s v="None"/>
    <n v="31275"/>
    <n v="25144"/>
    <n v="6114"/>
    <n v="17"/>
    <n v="0"/>
  </r>
  <r>
    <x v="2"/>
    <x v="0"/>
    <s v="Monday"/>
    <x v="2"/>
    <n v="219"/>
    <x v="1"/>
    <s v="HDFC"/>
    <s v="None"/>
    <s v="None"/>
    <n v="31056"/>
    <n v="24925"/>
    <n v="6114"/>
    <n v="17"/>
    <n v="0"/>
  </r>
  <r>
    <x v="2"/>
    <x v="0"/>
    <s v="Monday"/>
    <x v="3"/>
    <n v="1028"/>
    <x v="1"/>
    <s v="HDFC"/>
    <s v="None"/>
    <s v="None"/>
    <n v="30028"/>
    <n v="23897"/>
    <n v="6114"/>
    <n v="17"/>
    <n v="0"/>
  </r>
  <r>
    <x v="3"/>
    <x v="0"/>
    <s v="Tuesday"/>
    <x v="2"/>
    <n v="199"/>
    <x v="1"/>
    <s v="UPI Lite"/>
    <s v="None"/>
    <s v="None"/>
    <n v="29829"/>
    <n v="23897"/>
    <n v="6114"/>
    <n v="-182"/>
    <n v="0"/>
  </r>
  <r>
    <x v="3"/>
    <x v="0"/>
    <s v="Tuesday"/>
    <x v="4"/>
    <n v="1992"/>
    <x v="2"/>
    <s v="HDFC"/>
    <s v="UPI Lite"/>
    <s v="None"/>
    <n v="29829"/>
    <n v="21905"/>
    <n v="6114"/>
    <n v="1810"/>
    <n v="0"/>
  </r>
  <r>
    <x v="4"/>
    <x v="0"/>
    <s v="Wednesday"/>
    <x v="2"/>
    <n v="209"/>
    <x v="1"/>
    <s v="UPI Lite"/>
    <s v="None"/>
    <s v="None"/>
    <n v="29620"/>
    <n v="21905"/>
    <n v="6114"/>
    <n v="1601"/>
    <n v="0"/>
  </r>
  <r>
    <x v="5"/>
    <x v="0"/>
    <s v="Thursday"/>
    <x v="2"/>
    <n v="199"/>
    <x v="1"/>
    <s v="UPI Lite"/>
    <s v="None"/>
    <s v="None"/>
    <n v="29421"/>
    <n v="21905"/>
    <n v="6114"/>
    <n v="1402"/>
    <n v="0"/>
  </r>
  <r>
    <x v="6"/>
    <x v="0"/>
    <s v="Friday"/>
    <x v="2"/>
    <n v="249"/>
    <x v="1"/>
    <s v="UPI Lite"/>
    <s v="None"/>
    <s v="None"/>
    <n v="29172"/>
    <n v="21905"/>
    <n v="6114"/>
    <n v="1153"/>
    <n v="0"/>
  </r>
  <r>
    <x v="7"/>
    <x v="0"/>
    <s v="Saturday"/>
    <x v="2"/>
    <n v="79"/>
    <x v="1"/>
    <s v="UPI Lite"/>
    <s v="None"/>
    <s v="None"/>
    <n v="29093"/>
    <n v="21905"/>
    <n v="6114"/>
    <n v="1074"/>
    <n v="0"/>
  </r>
  <r>
    <x v="7"/>
    <x v="0"/>
    <s v="Saturday"/>
    <x v="5"/>
    <n v="2500"/>
    <x v="1"/>
    <s v="HDFC"/>
    <s v="None"/>
    <s v="None"/>
    <n v="26593"/>
    <n v="19405"/>
    <n v="6114"/>
    <n v="1074"/>
    <n v="0"/>
  </r>
  <r>
    <x v="8"/>
    <x v="0"/>
    <s v="Sunday"/>
    <x v="2"/>
    <n v="279"/>
    <x v="1"/>
    <s v="UPI Lite"/>
    <s v="None"/>
    <s v="None"/>
    <n v="26314"/>
    <n v="19405"/>
    <n v="6114"/>
    <n v="795"/>
    <n v="0"/>
  </r>
  <r>
    <x v="9"/>
    <x v="1"/>
    <s v="Monday"/>
    <x v="4"/>
    <n v="1962"/>
    <x v="2"/>
    <s v="HDFC"/>
    <s v="UPI Lite"/>
    <s v="None"/>
    <n v="26314"/>
    <n v="17443"/>
    <n v="6114"/>
    <n v="2757"/>
    <n v="0"/>
  </r>
  <r>
    <x v="9"/>
    <x v="1"/>
    <s v="Monday"/>
    <x v="2"/>
    <n v="569"/>
    <x v="1"/>
    <s v="UPI Lite"/>
    <s v="None"/>
    <s v="None"/>
    <n v="25745"/>
    <n v="17443"/>
    <n v="6114"/>
    <n v="2188"/>
    <n v="0"/>
  </r>
  <r>
    <x v="10"/>
    <x v="1"/>
    <s v="Tuesday"/>
    <x v="2"/>
    <n v="239"/>
    <x v="1"/>
    <s v="UPI Lite"/>
    <s v="None"/>
    <s v="None"/>
    <n v="25506"/>
    <n v="17443"/>
    <n v="6114"/>
    <n v="1949"/>
    <n v="0"/>
  </r>
  <r>
    <x v="11"/>
    <x v="1"/>
    <s v="Wednesday"/>
    <x v="2"/>
    <n v="219"/>
    <x v="1"/>
    <s v="UPI Lite"/>
    <s v="None"/>
    <s v="None"/>
    <n v="25287"/>
    <n v="17443"/>
    <n v="6114"/>
    <n v="1730"/>
    <n v="0"/>
  </r>
  <r>
    <x v="12"/>
    <x v="1"/>
    <s v="Thursday"/>
    <x v="2"/>
    <n v="294"/>
    <x v="1"/>
    <s v="UPI Lite"/>
    <s v="None"/>
    <s v="None"/>
    <n v="24993"/>
    <n v="17443"/>
    <n v="6114"/>
    <n v="1436"/>
    <n v="0"/>
  </r>
  <r>
    <x v="13"/>
    <x v="1"/>
    <s v="Friday"/>
    <x v="2"/>
    <n v="229"/>
    <x v="1"/>
    <s v="UPI Lite"/>
    <s v="None"/>
    <s v="None"/>
    <n v="24764"/>
    <n v="17443"/>
    <n v="6114"/>
    <n v="1207"/>
    <n v="0"/>
  </r>
  <r>
    <x v="14"/>
    <x v="1"/>
    <s v="Saturday"/>
    <x v="2"/>
    <n v="446"/>
    <x v="1"/>
    <s v="UPI Lite"/>
    <s v="None"/>
    <s v="None"/>
    <n v="24318"/>
    <n v="17443"/>
    <n v="6114"/>
    <n v="761"/>
    <n v="0"/>
  </r>
  <r>
    <x v="14"/>
    <x v="1"/>
    <s v="Saturday"/>
    <x v="3"/>
    <n v="700"/>
    <x v="1"/>
    <s v="HDFC"/>
    <s v="None"/>
    <s v="None"/>
    <n v="23618"/>
    <n v="16743"/>
    <n v="6114"/>
    <n v="761"/>
    <n v="0"/>
  </r>
  <r>
    <x v="15"/>
    <x v="1"/>
    <s v="Sunday"/>
    <x v="2"/>
    <n v="478"/>
    <x v="1"/>
    <s v="UPI Lite"/>
    <s v="None"/>
    <s v="None"/>
    <n v="23140"/>
    <n v="16743"/>
    <n v="6114"/>
    <n v="283"/>
    <n v="0"/>
  </r>
  <r>
    <x v="16"/>
    <x v="1"/>
    <s v="Monday"/>
    <x v="2"/>
    <n v="145"/>
    <x v="1"/>
    <s v="UPI Lite"/>
    <s v="None"/>
    <s v="None"/>
    <n v="22995"/>
    <n v="16743"/>
    <n v="6114"/>
    <n v="138"/>
    <n v="0"/>
  </r>
  <r>
    <x v="17"/>
    <x v="1"/>
    <s v="Tuesday"/>
    <x v="6"/>
    <n v="3500"/>
    <x v="1"/>
    <s v="HDFC"/>
    <s v="None"/>
    <s v="None"/>
    <n v="19495"/>
    <n v="13243"/>
    <n v="6114"/>
    <n v="138"/>
    <n v="0"/>
  </r>
  <r>
    <x v="17"/>
    <x v="1"/>
    <s v="Tuesday"/>
    <x v="2"/>
    <n v="204"/>
    <x v="1"/>
    <s v="UPI Lite"/>
    <s v="None"/>
    <s v="None"/>
    <n v="19291"/>
    <n v="13243"/>
    <n v="6114"/>
    <n v="-66"/>
    <n v="0"/>
  </r>
  <r>
    <x v="17"/>
    <x v="1"/>
    <s v="Tuesday"/>
    <x v="4"/>
    <n v="1985"/>
    <x v="2"/>
    <s v="HDFC"/>
    <s v="UPI Lite"/>
    <s v="None"/>
    <n v="19291"/>
    <n v="11258"/>
    <n v="6114"/>
    <n v="1919"/>
    <n v="0"/>
  </r>
  <r>
    <x v="18"/>
    <x v="1"/>
    <s v="Wednesday"/>
    <x v="2"/>
    <n v="234"/>
    <x v="1"/>
    <s v="UPI Lite"/>
    <s v="None"/>
    <s v="None"/>
    <n v="19057"/>
    <n v="11258"/>
    <n v="6114"/>
    <n v="1685"/>
    <n v="0"/>
  </r>
  <r>
    <x v="19"/>
    <x v="1"/>
    <s v="Thursday"/>
    <x v="2"/>
    <n v="250"/>
    <x v="1"/>
    <s v="UPI Lite"/>
    <s v="None"/>
    <s v="None"/>
    <n v="18807"/>
    <n v="11258"/>
    <n v="6114"/>
    <n v="1435"/>
    <n v="0"/>
  </r>
  <r>
    <x v="20"/>
    <x v="1"/>
    <s v="Friday"/>
    <x v="2"/>
    <n v="10"/>
    <x v="1"/>
    <s v="HDFC"/>
    <s v="None"/>
    <s v="None"/>
    <n v="18797"/>
    <n v="11248"/>
    <n v="6114"/>
    <n v="1435"/>
    <n v="0"/>
  </r>
  <r>
    <x v="20"/>
    <x v="1"/>
    <s v="Friday"/>
    <x v="2"/>
    <n v="254"/>
    <x v="1"/>
    <s v="UPI Lite"/>
    <s v="None"/>
    <s v="None"/>
    <n v="18543"/>
    <n v="11248"/>
    <n v="6114"/>
    <n v="1181"/>
    <n v="0"/>
  </r>
  <r>
    <x v="21"/>
    <x v="1"/>
    <s v="Saturday"/>
    <x v="1"/>
    <n v="185"/>
    <x v="1"/>
    <s v="SBI"/>
    <s v="None"/>
    <s v="None"/>
    <n v="18358"/>
    <n v="11248"/>
    <n v="5929"/>
    <n v="1181"/>
    <n v="0"/>
  </r>
  <r>
    <x v="21"/>
    <x v="1"/>
    <s v="Saturday"/>
    <x v="2"/>
    <n v="270"/>
    <x v="1"/>
    <s v="UPI Lite"/>
    <s v="None"/>
    <s v="None"/>
    <n v="18088"/>
    <n v="11248"/>
    <n v="5929"/>
    <n v="911"/>
    <n v="0"/>
  </r>
  <r>
    <x v="22"/>
    <x v="1"/>
    <s v="Sunday"/>
    <x v="2"/>
    <n v="655"/>
    <x v="1"/>
    <s v="UPI Lite"/>
    <s v="None"/>
    <s v="None"/>
    <n v="17433"/>
    <n v="11248"/>
    <n v="5929"/>
    <n v="256"/>
    <n v="0"/>
  </r>
  <r>
    <x v="23"/>
    <x v="1"/>
    <s v="Monday"/>
    <x v="2"/>
    <n v="250"/>
    <x v="1"/>
    <s v="UPI Lite"/>
    <s v="None"/>
    <s v="None"/>
    <n v="17183"/>
    <n v="11248"/>
    <n v="5929"/>
    <n v="6"/>
    <n v="0"/>
  </r>
  <r>
    <x v="23"/>
    <x v="1"/>
    <s v="Monday"/>
    <x v="4"/>
    <n v="1943"/>
    <x v="2"/>
    <s v="HDFC"/>
    <s v="UPI Lite"/>
    <s v="None"/>
    <n v="17183"/>
    <n v="9305"/>
    <n v="5929"/>
    <n v="1949"/>
    <n v="0"/>
  </r>
  <r>
    <x v="23"/>
    <x v="1"/>
    <s v="Monday"/>
    <x v="2"/>
    <n v="30"/>
    <x v="1"/>
    <s v="SBI"/>
    <s v="None"/>
    <s v="None"/>
    <n v="17153"/>
    <n v="9305"/>
    <n v="5899"/>
    <n v="1949"/>
    <n v="0"/>
  </r>
  <r>
    <x v="24"/>
    <x v="1"/>
    <s v="Tuesday"/>
    <x v="2"/>
    <n v="279"/>
    <x v="1"/>
    <s v="UPI Lite"/>
    <s v="None"/>
    <s v="None"/>
    <n v="16874"/>
    <n v="9305"/>
    <n v="5899"/>
    <n v="1670"/>
    <n v="0"/>
  </r>
  <r>
    <x v="25"/>
    <x v="1"/>
    <s v="Wednesday"/>
    <x v="2"/>
    <n v="194"/>
    <x v="1"/>
    <s v="UPI Lite"/>
    <s v="None"/>
    <s v="None"/>
    <n v="16680"/>
    <n v="9305"/>
    <n v="5899"/>
    <n v="1476"/>
    <n v="0"/>
  </r>
  <r>
    <x v="25"/>
    <x v="1"/>
    <s v="Wednesday"/>
    <x v="7"/>
    <n v="620"/>
    <x v="1"/>
    <s v="UPI Lite"/>
    <s v="None"/>
    <s v="None"/>
    <n v="16060"/>
    <n v="9305"/>
    <n v="5899"/>
    <n v="856"/>
    <n v="0"/>
  </r>
  <r>
    <x v="26"/>
    <x v="1"/>
    <s v="Thursday"/>
    <x v="3"/>
    <n v="945"/>
    <x v="1"/>
    <s v="HDFC"/>
    <s v="None"/>
    <s v="None"/>
    <n v="15115"/>
    <n v="8360"/>
    <n v="5899"/>
    <n v="856"/>
    <n v="0"/>
  </r>
  <r>
    <x v="26"/>
    <x v="1"/>
    <s v="Thursday"/>
    <x v="8"/>
    <n v="39"/>
    <x v="1"/>
    <s v="UPI Lite"/>
    <s v="None"/>
    <s v="None"/>
    <n v="15076"/>
    <n v="8360"/>
    <n v="5899"/>
    <n v="817"/>
    <n v="0"/>
  </r>
  <r>
    <x v="26"/>
    <x v="1"/>
    <s v="Thursday"/>
    <x v="2"/>
    <n v="350"/>
    <x v="1"/>
    <s v="UPI Lite"/>
    <s v="None"/>
    <s v="None"/>
    <n v="14726"/>
    <n v="8360"/>
    <n v="5899"/>
    <n v="467"/>
    <n v="0"/>
  </r>
  <r>
    <x v="27"/>
    <x v="1"/>
    <s v="Friday"/>
    <x v="2"/>
    <n v="169"/>
    <x v="1"/>
    <s v="UPI Lite"/>
    <s v="None"/>
    <s v="None"/>
    <n v="14557"/>
    <n v="8360"/>
    <n v="5899"/>
    <n v="298"/>
    <n v="0"/>
  </r>
  <r>
    <x v="28"/>
    <x v="1"/>
    <s v="Saturday"/>
    <x v="9"/>
    <n v="10000"/>
    <x v="1"/>
    <s v="SBI"/>
    <s v="None"/>
    <s v="None"/>
    <n v="4557"/>
    <n v="8360"/>
    <n v="-4101"/>
    <n v="298"/>
    <n v="0"/>
  </r>
  <r>
    <x v="28"/>
    <x v="1"/>
    <s v="Saturday"/>
    <x v="4"/>
    <n v="8000"/>
    <x v="2"/>
    <s v="HDFC"/>
    <s v="SBI"/>
    <s v="None"/>
    <n v="4557"/>
    <n v="360"/>
    <n v="3899"/>
    <n v="298"/>
    <n v="0"/>
  </r>
  <r>
    <x v="29"/>
    <x v="1"/>
    <s v="Thursday"/>
    <x v="3"/>
    <n v="830"/>
    <x v="1"/>
    <s v="SBI"/>
    <s v="None"/>
    <s v="None"/>
    <n v="3727"/>
    <n v="360"/>
    <n v="3069"/>
    <n v="298"/>
    <n v="0"/>
  </r>
  <r>
    <x v="29"/>
    <x v="1"/>
    <s v="Thursday"/>
    <x v="0"/>
    <n v="26384"/>
    <x v="0"/>
    <s v="HDFC"/>
    <s v="None"/>
    <s v="None"/>
    <n v="30111"/>
    <n v="26744"/>
    <n v="3069"/>
    <n v="298"/>
    <n v="0"/>
  </r>
  <r>
    <x v="30"/>
    <x v="1"/>
    <s v="Saturday"/>
    <x v="2"/>
    <n v="111"/>
    <x v="1"/>
    <s v="UPI Lite"/>
    <s v="None"/>
    <s v="None"/>
    <n v="30000"/>
    <n v="26744"/>
    <n v="3069"/>
    <n v="187"/>
    <n v="0"/>
  </r>
  <r>
    <x v="31"/>
    <x v="1"/>
    <s v="Sunday"/>
    <x v="2"/>
    <n v="100"/>
    <x v="1"/>
    <s v="UPI Lite"/>
    <s v="None"/>
    <s v="None"/>
    <n v="29900"/>
    <n v="26744"/>
    <n v="3069"/>
    <n v="87"/>
    <n v="0"/>
  </r>
  <r>
    <x v="32"/>
    <x v="1"/>
    <s v="Monday"/>
    <x v="2"/>
    <n v="200"/>
    <x v="1"/>
    <s v="HDFC"/>
    <s v="None"/>
    <s v="None"/>
    <n v="29700"/>
    <n v="26544"/>
    <n v="3069"/>
    <n v="87"/>
    <n v="0"/>
  </r>
  <r>
    <x v="32"/>
    <x v="1"/>
    <s v="Monday"/>
    <x v="2"/>
    <n v="60"/>
    <x v="1"/>
    <s v="UPI Lite"/>
    <s v="None"/>
    <s v="None"/>
    <n v="29640"/>
    <n v="26544"/>
    <n v="3069"/>
    <n v="27"/>
    <n v="0"/>
  </r>
  <r>
    <x v="32"/>
    <x v="1"/>
    <s v="Monday"/>
    <x v="3"/>
    <n v="810"/>
    <x v="1"/>
    <s v="HDFC"/>
    <s v="None"/>
    <s v="None"/>
    <n v="28830"/>
    <n v="25734"/>
    <n v="3069"/>
    <n v="27"/>
    <n v="0"/>
  </r>
  <r>
    <x v="33"/>
    <x v="1"/>
    <s v="Tuesday"/>
    <x v="2"/>
    <n v="160"/>
    <x v="1"/>
    <s v="HDFC"/>
    <s v="None"/>
    <s v="None"/>
    <n v="28670"/>
    <n v="25574"/>
    <n v="3069"/>
    <n v="27"/>
    <n v="0"/>
  </r>
  <r>
    <x v="34"/>
    <x v="1"/>
    <s v="Wednesday"/>
    <x v="2"/>
    <n v="130"/>
    <x v="1"/>
    <s v="HDFC"/>
    <s v="None"/>
    <s v="None"/>
    <n v="28540"/>
    <n v="25444"/>
    <n v="3069"/>
    <n v="27"/>
    <n v="0"/>
  </r>
  <r>
    <x v="34"/>
    <x v="1"/>
    <s v="Wednesday"/>
    <x v="2"/>
    <n v="10"/>
    <x v="1"/>
    <s v="UPI Lite"/>
    <s v="None"/>
    <s v="None"/>
    <n v="28530"/>
    <n v="25444"/>
    <n v="3069"/>
    <n v="17"/>
    <n v="0"/>
  </r>
  <r>
    <x v="35"/>
    <x v="2"/>
    <s v="Thursday"/>
    <x v="2"/>
    <n v="310"/>
    <x v="1"/>
    <s v="HDFC"/>
    <s v="None"/>
    <s v="None"/>
    <n v="28220"/>
    <n v="25134"/>
    <n v="3069"/>
    <n v="17"/>
    <n v="0"/>
  </r>
  <r>
    <x v="36"/>
    <x v="2"/>
    <s v="Friday"/>
    <x v="2"/>
    <n v="214"/>
    <x v="1"/>
    <s v="HDFC"/>
    <s v="None"/>
    <s v="None"/>
    <n v="28006"/>
    <n v="24920"/>
    <n v="3069"/>
    <n v="17"/>
    <n v="0"/>
  </r>
  <r>
    <x v="37"/>
    <x v="2"/>
    <s v="Sunday"/>
    <x v="2"/>
    <n v="50"/>
    <x v="1"/>
    <s v="HDFC"/>
    <s v="None"/>
    <s v="None"/>
    <n v="27956"/>
    <n v="24870"/>
    <n v="3069"/>
    <n v="17"/>
    <n v="0"/>
  </r>
  <r>
    <x v="38"/>
    <x v="2"/>
    <s v="Monday"/>
    <x v="2"/>
    <n v="95"/>
    <x v="1"/>
    <s v="HDFC"/>
    <s v="None"/>
    <s v="None"/>
    <n v="27861"/>
    <n v="24775"/>
    <n v="3069"/>
    <n v="17"/>
    <n v="0"/>
  </r>
  <r>
    <x v="38"/>
    <x v="2"/>
    <s v="Monday"/>
    <x v="3"/>
    <n v="500"/>
    <x v="1"/>
    <s v="HDFC"/>
    <s v="None"/>
    <s v="None"/>
    <n v="27361"/>
    <n v="24275"/>
    <n v="3069"/>
    <n v="17"/>
    <n v="0"/>
  </r>
  <r>
    <x v="39"/>
    <x v="2"/>
    <s v="Tuesday"/>
    <x v="7"/>
    <n v="20"/>
    <x v="1"/>
    <s v="HDFC"/>
    <s v="None"/>
    <s v="None"/>
    <n v="27341"/>
    <n v="24255"/>
    <n v="3069"/>
    <n v="17"/>
    <n v="0"/>
  </r>
  <r>
    <x v="39"/>
    <x v="2"/>
    <s v="Tuesday"/>
    <x v="2"/>
    <n v="220"/>
    <x v="1"/>
    <s v="HDFC"/>
    <s v="None"/>
    <s v="None"/>
    <n v="27121"/>
    <n v="24035"/>
    <n v="3069"/>
    <n v="17"/>
    <n v="0"/>
  </r>
  <r>
    <x v="40"/>
    <x v="2"/>
    <s v="Wednesday"/>
    <x v="2"/>
    <n v="130"/>
    <x v="1"/>
    <s v="UPI Lite"/>
    <s v="None"/>
    <s v="None"/>
    <n v="26991"/>
    <n v="24035"/>
    <n v="3069"/>
    <n v="-113"/>
    <n v="0"/>
  </r>
  <r>
    <x v="40"/>
    <x v="2"/>
    <s v="Wednesday"/>
    <x v="4"/>
    <n v="1992"/>
    <x v="2"/>
    <s v="HDFC"/>
    <s v="UPI Lite"/>
    <s v="None"/>
    <n v="26991"/>
    <n v="22043"/>
    <n v="3069"/>
    <n v="1879"/>
    <n v="0"/>
  </r>
  <r>
    <x v="41"/>
    <x v="2"/>
    <s v="Thursday"/>
    <x v="2"/>
    <n v="270"/>
    <x v="1"/>
    <s v="UPI Lite"/>
    <s v="None"/>
    <s v="None"/>
    <n v="26721"/>
    <n v="22043"/>
    <n v="3069"/>
    <n v="1609"/>
    <n v="0"/>
  </r>
  <r>
    <x v="41"/>
    <x v="2"/>
    <s v="Thursday"/>
    <x v="7"/>
    <n v="200"/>
    <x v="1"/>
    <s v="UPI Lite"/>
    <s v="None"/>
    <s v="None"/>
    <n v="26521"/>
    <n v="22043"/>
    <n v="3069"/>
    <n v="1409"/>
    <n v="0"/>
  </r>
  <r>
    <x v="42"/>
    <x v="2"/>
    <s v="Friday"/>
    <x v="2"/>
    <n v="50"/>
    <x v="1"/>
    <s v="SBI"/>
    <s v="None"/>
    <s v="None"/>
    <n v="26471"/>
    <n v="22043"/>
    <n v="3019"/>
    <n v="1409"/>
    <n v="0"/>
  </r>
  <r>
    <x v="42"/>
    <x v="2"/>
    <s v="Friday"/>
    <x v="6"/>
    <n v="3500"/>
    <x v="1"/>
    <s v="HDFC"/>
    <s v="None"/>
    <s v="None"/>
    <n v="22971"/>
    <n v="18543"/>
    <n v="3019"/>
    <n v="1409"/>
    <n v="0"/>
  </r>
  <r>
    <x v="42"/>
    <x v="2"/>
    <s v="Friday"/>
    <x v="2"/>
    <n v="110"/>
    <x v="1"/>
    <s v="UPI Lite"/>
    <s v="None"/>
    <s v="None"/>
    <n v="22861"/>
    <n v="18543"/>
    <n v="3019"/>
    <n v="1299"/>
    <n v="0"/>
  </r>
  <r>
    <x v="43"/>
    <x v="2"/>
    <s v="Saturday"/>
    <x v="3"/>
    <n v="500"/>
    <x v="1"/>
    <s v="UPI Lite"/>
    <s v="None"/>
    <s v="None"/>
    <n v="22361"/>
    <n v="18543"/>
    <n v="3019"/>
    <n v="799"/>
    <n v="0"/>
  </r>
  <r>
    <x v="44"/>
    <x v="2"/>
    <s v="Sunday"/>
    <x v="8"/>
    <n v="700"/>
    <x v="1"/>
    <s v="HDFC"/>
    <s v="None"/>
    <s v="None"/>
    <n v="21661"/>
    <n v="17843"/>
    <n v="3019"/>
    <n v="799"/>
    <n v="0"/>
  </r>
  <r>
    <x v="45"/>
    <x v="2"/>
    <s v="Tuesday"/>
    <x v="3"/>
    <n v="287"/>
    <x v="1"/>
    <s v="UPI Lite"/>
    <s v="None"/>
    <s v="None"/>
    <n v="21374"/>
    <n v="17843"/>
    <n v="3019"/>
    <n v="512"/>
    <n v="0"/>
  </r>
  <r>
    <x v="46"/>
    <x v="2"/>
    <s v="Wednesday"/>
    <x v="4"/>
    <n v="1897"/>
    <x v="2"/>
    <s v="HDFC"/>
    <s v="UPI Lite"/>
    <s v="None"/>
    <n v="21374"/>
    <n v="15946"/>
    <n v="3019"/>
    <n v="2409"/>
    <n v="0"/>
  </r>
  <r>
    <x v="46"/>
    <x v="2"/>
    <s v="Wednesday"/>
    <x v="2"/>
    <n v="330"/>
    <x v="1"/>
    <s v="UPI Lite"/>
    <s v="None"/>
    <s v="None"/>
    <n v="21044"/>
    <n v="15946"/>
    <n v="3019"/>
    <n v="2079"/>
    <n v="0"/>
  </r>
  <r>
    <x v="46"/>
    <x v="2"/>
    <s v="Wednesday"/>
    <x v="1"/>
    <n v="199"/>
    <x v="1"/>
    <s v="SBI"/>
    <s v="None"/>
    <s v="None"/>
    <n v="20845"/>
    <n v="15946"/>
    <n v="2820"/>
    <n v="2079"/>
    <n v="0"/>
  </r>
  <r>
    <x v="46"/>
    <x v="2"/>
    <s v="Wednesday"/>
    <x v="3"/>
    <n v="100"/>
    <x v="1"/>
    <s v="UPI Lite"/>
    <s v="None"/>
    <s v="None"/>
    <n v="20745"/>
    <n v="15946"/>
    <n v="2820"/>
    <n v="1979"/>
    <n v="0"/>
  </r>
  <r>
    <x v="47"/>
    <x v="2"/>
    <s v="Thursday"/>
    <x v="2"/>
    <n v="239"/>
    <x v="1"/>
    <s v="UPI Lite"/>
    <s v="None"/>
    <s v="None"/>
    <n v="20506"/>
    <n v="15946"/>
    <n v="2820"/>
    <n v="1740"/>
    <n v="0"/>
  </r>
  <r>
    <x v="48"/>
    <x v="2"/>
    <s v="Friday"/>
    <x v="2"/>
    <n v="350"/>
    <x v="1"/>
    <s v="UPI Lite"/>
    <s v="None"/>
    <s v="None"/>
    <n v="20156"/>
    <n v="15946"/>
    <n v="2820"/>
    <n v="1390"/>
    <n v="0"/>
  </r>
  <r>
    <x v="49"/>
    <x v="2"/>
    <s v="Saturday"/>
    <x v="2"/>
    <n v="190"/>
    <x v="1"/>
    <s v="UPI Lite"/>
    <s v="None"/>
    <s v="None"/>
    <n v="19966"/>
    <n v="15946"/>
    <n v="2820"/>
    <n v="1200"/>
    <n v="0"/>
  </r>
  <r>
    <x v="50"/>
    <x v="2"/>
    <s v="Sunday"/>
    <x v="2"/>
    <n v="185"/>
    <x v="1"/>
    <s v="UPI Lite"/>
    <s v="None"/>
    <s v="None"/>
    <n v="19781"/>
    <n v="15946"/>
    <n v="2820"/>
    <n v="1015"/>
    <n v="0"/>
  </r>
  <r>
    <x v="51"/>
    <x v="2"/>
    <s v="Monday"/>
    <x v="2"/>
    <n v="290"/>
    <x v="1"/>
    <s v="UPI Lite"/>
    <s v="None"/>
    <s v="None"/>
    <n v="19491"/>
    <n v="15946"/>
    <n v="2820"/>
    <n v="725"/>
    <n v="0"/>
  </r>
  <r>
    <x v="51"/>
    <x v="2"/>
    <s v="Monday"/>
    <x v="3"/>
    <n v="947"/>
    <x v="1"/>
    <s v="HDFC"/>
    <s v="None"/>
    <s v="None"/>
    <n v="18544"/>
    <n v="14999"/>
    <n v="2820"/>
    <n v="725"/>
    <n v="0"/>
  </r>
  <r>
    <x v="52"/>
    <x v="2"/>
    <s v="Tuesday"/>
    <x v="2"/>
    <n v="140"/>
    <x v="1"/>
    <s v="UPI Lite"/>
    <s v="None"/>
    <s v="None"/>
    <n v="18404"/>
    <n v="14999"/>
    <n v="2820"/>
    <n v="585"/>
    <n v="0"/>
  </r>
  <r>
    <x v="53"/>
    <x v="2"/>
    <s v="Wednesday"/>
    <x v="2"/>
    <n v="190"/>
    <x v="1"/>
    <s v="UPI Lite"/>
    <s v="None"/>
    <s v="None"/>
    <n v="18214"/>
    <n v="14999"/>
    <n v="2820"/>
    <n v="395"/>
    <n v="0"/>
  </r>
  <r>
    <x v="54"/>
    <x v="2"/>
    <s v="Thursday"/>
    <x v="2"/>
    <n v="170"/>
    <x v="1"/>
    <s v="UPI Lite"/>
    <s v="None"/>
    <s v="None"/>
    <n v="18044"/>
    <n v="14999"/>
    <n v="2820"/>
    <n v="225"/>
    <n v="0"/>
  </r>
  <r>
    <x v="55"/>
    <x v="2"/>
    <s v="Friday"/>
    <x v="2"/>
    <n v="40"/>
    <x v="1"/>
    <s v="SBI"/>
    <s v="None"/>
    <s v="None"/>
    <n v="18004"/>
    <n v="14999"/>
    <n v="2780"/>
    <n v="225"/>
    <n v="0"/>
  </r>
  <r>
    <x v="55"/>
    <x v="2"/>
    <s v="Friday"/>
    <x v="2"/>
    <n v="90"/>
    <x v="1"/>
    <s v="UPI Lite"/>
    <s v="None"/>
    <s v="None"/>
    <n v="17914"/>
    <n v="14999"/>
    <n v="2780"/>
    <n v="135"/>
    <n v="0"/>
  </r>
  <r>
    <x v="55"/>
    <x v="2"/>
    <s v="Friday"/>
    <x v="4"/>
    <n v="1935"/>
    <x v="2"/>
    <s v="HDFC"/>
    <s v="UPI Lite"/>
    <s v="None"/>
    <n v="17914"/>
    <n v="13064"/>
    <n v="2780"/>
    <n v="2070"/>
    <n v="0"/>
  </r>
  <r>
    <x v="56"/>
    <x v="2"/>
    <s v="Saturday"/>
    <x v="2"/>
    <n v="240"/>
    <x v="1"/>
    <s v="UPI Lite"/>
    <s v="None"/>
    <s v="None"/>
    <n v="17674"/>
    <n v="13064"/>
    <n v="2780"/>
    <n v="1830"/>
    <n v="0"/>
  </r>
  <r>
    <x v="56"/>
    <x v="2"/>
    <s v="Saturday"/>
    <x v="0"/>
    <n v="250"/>
    <x v="0"/>
    <s v="SBI"/>
    <s v="None"/>
    <s v="None"/>
    <n v="17924"/>
    <n v="13064"/>
    <n v="3030"/>
    <n v="1830"/>
    <n v="0"/>
  </r>
  <r>
    <x v="57"/>
    <x v="2"/>
    <s v="Sunday"/>
    <x v="2"/>
    <n v="220"/>
    <x v="1"/>
    <s v="UPI Lite"/>
    <s v="None"/>
    <s v="None"/>
    <n v="17704"/>
    <n v="13064"/>
    <n v="3030"/>
    <n v="1610"/>
    <n v="0"/>
  </r>
  <r>
    <x v="57"/>
    <x v="2"/>
    <s v="Sunday"/>
    <x v="0"/>
    <n v="24777"/>
    <x v="0"/>
    <s v="HDFC"/>
    <s v="None"/>
    <s v="None"/>
    <n v="42481"/>
    <n v="37841"/>
    <n v="3030"/>
    <n v="1610"/>
    <n v="0"/>
  </r>
  <r>
    <x v="58"/>
    <x v="2"/>
    <s v="Monday"/>
    <x v="2"/>
    <n v="230"/>
    <x v="1"/>
    <s v="UPI Lite"/>
    <s v="None"/>
    <s v="None"/>
    <n v="42251"/>
    <n v="37841"/>
    <n v="3030"/>
    <n v="1380"/>
    <n v="0"/>
  </r>
  <r>
    <x v="59"/>
    <x v="2"/>
    <s v="Tuesday"/>
    <x v="4"/>
    <n v="80"/>
    <x v="2"/>
    <s v="UPI Lite"/>
    <s v="SBI"/>
    <s v="None"/>
    <n v="42251"/>
    <n v="37841"/>
    <n v="3110"/>
    <n v="1300"/>
    <n v="0"/>
  </r>
  <r>
    <x v="59"/>
    <x v="2"/>
    <s v="Tuesday"/>
    <x v="2"/>
    <n v="184"/>
    <x v="1"/>
    <s v="UPI Lite"/>
    <s v="None"/>
    <s v="None"/>
    <n v="42067"/>
    <n v="37841"/>
    <n v="3110"/>
    <n v="1116"/>
    <n v="0"/>
  </r>
  <r>
    <x v="60"/>
    <x v="2"/>
    <s v="Wednesday"/>
    <x v="2"/>
    <n v="274"/>
    <x v="1"/>
    <s v="UPI Lite"/>
    <s v="None"/>
    <s v="None"/>
    <n v="41793"/>
    <n v="37841"/>
    <n v="3110"/>
    <n v="842"/>
    <n v="0"/>
  </r>
  <r>
    <x v="61"/>
    <x v="2"/>
    <s v="Thursday"/>
    <x v="2"/>
    <n v="192"/>
    <x v="1"/>
    <s v="HDFC"/>
    <s v="None"/>
    <s v="None"/>
    <n v="41601"/>
    <n v="37649"/>
    <n v="3110"/>
    <n v="842"/>
    <n v="0"/>
  </r>
  <r>
    <x v="61"/>
    <x v="2"/>
    <s v="Thursday"/>
    <x v="2"/>
    <n v="60"/>
    <x v="1"/>
    <s v="UPI Lite"/>
    <s v="None"/>
    <s v="None"/>
    <n v="41541"/>
    <n v="37649"/>
    <n v="3110"/>
    <n v="782"/>
    <n v="0"/>
  </r>
  <r>
    <x v="62"/>
    <x v="3"/>
    <s v="Friday"/>
    <x v="2"/>
    <n v="241"/>
    <x v="1"/>
    <s v="UPI Lite"/>
    <s v="None"/>
    <s v="None"/>
    <n v="41300"/>
    <n v="37649"/>
    <n v="3110"/>
    <n v="541"/>
    <n v="0"/>
  </r>
  <r>
    <x v="63"/>
    <x v="3"/>
    <s v="Saturday"/>
    <x v="2"/>
    <n v="160"/>
    <x v="1"/>
    <s v="UPI Lite"/>
    <s v="None"/>
    <s v="None"/>
    <n v="41140"/>
    <n v="37649"/>
    <n v="3110"/>
    <n v="381"/>
    <n v="0"/>
  </r>
  <r>
    <x v="64"/>
    <x v="3"/>
    <s v="Sunday"/>
    <x v="10"/>
    <n v="1099"/>
    <x v="1"/>
    <s v="HDFC"/>
    <s v="None"/>
    <s v="Expenses Manager"/>
    <n v="40041"/>
    <n v="36550"/>
    <n v="3110"/>
    <n v="381"/>
    <n v="0"/>
  </r>
  <r>
    <x v="64"/>
    <x v="3"/>
    <s v="Sunday"/>
    <x v="2"/>
    <n v="252"/>
    <x v="1"/>
    <s v="UPI Lite"/>
    <s v="None"/>
    <s v="None"/>
    <n v="39789"/>
    <n v="36550"/>
    <n v="3110"/>
    <n v="129"/>
    <n v="0"/>
  </r>
  <r>
    <x v="64"/>
    <x v="3"/>
    <s v="Sunday"/>
    <x v="4"/>
    <n v="1849"/>
    <x v="2"/>
    <s v="HDFC"/>
    <s v="UPI Lite"/>
    <s v="None"/>
    <n v="39789"/>
    <n v="34701"/>
    <n v="3110"/>
    <n v="1978"/>
    <n v="0"/>
  </r>
  <r>
    <x v="64"/>
    <x v="3"/>
    <s v="Sunday"/>
    <x v="11"/>
    <n v="10"/>
    <x v="1"/>
    <s v="UPI Lite"/>
    <s v="None"/>
    <s v="Easy"/>
    <n v="39779"/>
    <n v="34701"/>
    <n v="3110"/>
    <n v="1968"/>
    <n v="0"/>
  </r>
  <r>
    <x v="64"/>
    <x v="3"/>
    <s v="Sunday"/>
    <x v="12"/>
    <n v="11"/>
    <x v="0"/>
    <s v="SBI"/>
    <s v="None"/>
    <s v="None"/>
    <n v="39790"/>
    <n v="34701"/>
    <n v="3121"/>
    <n v="1968"/>
    <n v="0"/>
  </r>
  <r>
    <x v="64"/>
    <x v="3"/>
    <s v="Sunday"/>
    <x v="1"/>
    <n v="210"/>
    <x v="1"/>
    <s v="UPI Lite"/>
    <s v="None"/>
    <s v="Lost"/>
    <n v="39580"/>
    <n v="34701"/>
    <n v="3121"/>
    <n v="1758"/>
    <n v="0"/>
  </r>
  <r>
    <x v="64"/>
    <x v="3"/>
    <s v="Sunday"/>
    <x v="4"/>
    <n v="22500"/>
    <x v="2"/>
    <s v="HDFC"/>
    <s v="SBI"/>
    <s v="None"/>
    <n v="39580"/>
    <n v="12201"/>
    <n v="25621"/>
    <n v="1758"/>
    <n v="0"/>
  </r>
  <r>
    <x v="65"/>
    <x v="3"/>
    <s v="Monday"/>
    <x v="2"/>
    <n v="174"/>
    <x v="1"/>
    <s v="UPI Lite"/>
    <s v="None"/>
    <s v="None"/>
    <n v="39406"/>
    <n v="12201"/>
    <n v="25621"/>
    <n v="1584"/>
    <n v="0"/>
  </r>
  <r>
    <x v="66"/>
    <x v="3"/>
    <s v="Tuesday"/>
    <x v="10"/>
    <n v="20"/>
    <x v="1"/>
    <s v="UPI Lite"/>
    <s v="None"/>
    <s v="Bike work"/>
    <n v="39386"/>
    <n v="12201"/>
    <n v="25621"/>
    <n v="1564"/>
    <n v="0"/>
  </r>
  <r>
    <x v="66"/>
    <x v="3"/>
    <s v="Tuesday"/>
    <x v="2"/>
    <n v="200"/>
    <x v="1"/>
    <s v="UPI Lite"/>
    <s v="None"/>
    <s v="None"/>
    <n v="39186"/>
    <n v="12201"/>
    <n v="25621"/>
    <n v="1364"/>
    <n v="0"/>
  </r>
  <r>
    <x v="66"/>
    <x v="3"/>
    <s v="Tuesday"/>
    <x v="11"/>
    <n v="340"/>
    <x v="1"/>
    <s v="UPI Lite"/>
    <s v="None"/>
    <s v="Socks"/>
    <n v="38846"/>
    <n v="12201"/>
    <n v="25621"/>
    <n v="1024"/>
    <n v="0"/>
  </r>
  <r>
    <x v="67"/>
    <x v="3"/>
    <s v="Wednesday"/>
    <x v="2"/>
    <n v="130"/>
    <x v="1"/>
    <s v="UPI Lite"/>
    <s v="None"/>
    <s v="None"/>
    <n v="38716"/>
    <n v="12201"/>
    <n v="25621"/>
    <n v="894"/>
    <n v="0"/>
  </r>
  <r>
    <x v="68"/>
    <x v="3"/>
    <s v="Thursday"/>
    <x v="2"/>
    <n v="90"/>
    <x v="1"/>
    <s v="UPI Lite"/>
    <s v="None"/>
    <s v="None"/>
    <n v="38626"/>
    <n v="12201"/>
    <n v="25621"/>
    <n v="804"/>
    <n v="0"/>
  </r>
  <r>
    <x v="69"/>
    <x v="3"/>
    <s v="Friday"/>
    <x v="2"/>
    <n v="474"/>
    <x v="1"/>
    <s v="UPI Lite"/>
    <s v="None"/>
    <s v="None"/>
    <n v="38152"/>
    <n v="12201"/>
    <n v="25621"/>
    <n v="330"/>
    <n v="0"/>
  </r>
  <r>
    <x v="69"/>
    <x v="3"/>
    <s v="Friday"/>
    <x v="6"/>
    <n v="3500"/>
    <x v="1"/>
    <s v="HDFC"/>
    <s v="None"/>
    <s v="None"/>
    <n v="34652"/>
    <n v="8701"/>
    <n v="25621"/>
    <n v="330"/>
    <n v="0"/>
  </r>
  <r>
    <x v="70"/>
    <x v="3"/>
    <s v="Saturday"/>
    <x v="2"/>
    <n v="170"/>
    <x v="1"/>
    <s v="UPI Lite"/>
    <s v="None"/>
    <s v="None"/>
    <n v="34482"/>
    <n v="8701"/>
    <n v="25621"/>
    <n v="160"/>
    <n v="0"/>
  </r>
  <r>
    <x v="71"/>
    <x v="3"/>
    <s v="Sunday"/>
    <x v="2"/>
    <n v="194"/>
    <x v="1"/>
    <s v="UPI Lite"/>
    <s v="None"/>
    <s v="None"/>
    <n v="34288"/>
    <n v="8701"/>
    <n v="25621"/>
    <n v="-34"/>
    <n v="0"/>
  </r>
  <r>
    <x v="71"/>
    <x v="3"/>
    <s v="Sunday"/>
    <x v="4"/>
    <n v="1960"/>
    <x v="2"/>
    <s v="HDFC"/>
    <s v="UPI Lite"/>
    <s v="None"/>
    <n v="34288"/>
    <n v="6741"/>
    <n v="25621"/>
    <n v="1926"/>
    <n v="0"/>
  </r>
  <r>
    <x v="72"/>
    <x v="3"/>
    <s v="Monday"/>
    <x v="2"/>
    <n v="163"/>
    <x v="1"/>
    <s v="UPI Lite"/>
    <s v="None"/>
    <s v="None"/>
    <n v="34125"/>
    <n v="6741"/>
    <n v="25621"/>
    <n v="1763"/>
    <n v="0"/>
  </r>
  <r>
    <x v="73"/>
    <x v="3"/>
    <s v="Tuesday"/>
    <x v="2"/>
    <n v="140"/>
    <x v="1"/>
    <s v="UPI Lite"/>
    <s v="None"/>
    <s v="None"/>
    <n v="33985"/>
    <n v="6741"/>
    <n v="25621"/>
    <n v="1623"/>
    <n v="0"/>
  </r>
  <r>
    <x v="73"/>
    <x v="3"/>
    <s v="Tuesday"/>
    <x v="3"/>
    <n v="1201"/>
    <x v="1"/>
    <s v="SBI"/>
    <s v="None"/>
    <s v="None"/>
    <n v="32784"/>
    <n v="6741"/>
    <n v="24420"/>
    <n v="1623"/>
    <n v="0"/>
  </r>
  <r>
    <x v="74"/>
    <x v="3"/>
    <s v="Wednesday"/>
    <x v="11"/>
    <n v="50"/>
    <x v="1"/>
    <s v="UPI Lite"/>
    <s v="None"/>
    <s v="Beard"/>
    <n v="32734"/>
    <n v="6741"/>
    <n v="24420"/>
    <n v="1573"/>
    <n v="0"/>
  </r>
  <r>
    <x v="74"/>
    <x v="3"/>
    <s v="Wednesday"/>
    <x v="2"/>
    <n v="134"/>
    <x v="1"/>
    <s v="UPI Lite"/>
    <s v="None"/>
    <s v="None"/>
    <n v="32600"/>
    <n v="6741"/>
    <n v="24420"/>
    <n v="1439"/>
    <n v="0"/>
  </r>
  <r>
    <x v="75"/>
    <x v="3"/>
    <s v="Thursday"/>
    <x v="4"/>
    <n v="82"/>
    <x v="2"/>
    <s v="UPI Lite"/>
    <s v="SBI"/>
    <s v="None"/>
    <n v="32600"/>
    <n v="6741"/>
    <n v="24502"/>
    <n v="1357"/>
    <n v="0"/>
  </r>
  <r>
    <x v="75"/>
    <x v="3"/>
    <s v="Thursday"/>
    <x v="2"/>
    <n v="110"/>
    <x v="1"/>
    <s v="UPI Lite"/>
    <s v="None"/>
    <s v="None"/>
    <n v="32490"/>
    <n v="6741"/>
    <n v="24502"/>
    <n v="1247"/>
    <n v="0"/>
  </r>
  <r>
    <x v="76"/>
    <x v="3"/>
    <s v="Friday"/>
    <x v="2"/>
    <n v="220"/>
    <x v="1"/>
    <s v="UPI Lite"/>
    <s v="None"/>
    <s v="None"/>
    <n v="32270"/>
    <n v="6741"/>
    <n v="24502"/>
    <n v="1027"/>
    <n v="0"/>
  </r>
  <r>
    <x v="77"/>
    <x v="3"/>
    <s v="Saturday"/>
    <x v="2"/>
    <n v="104"/>
    <x v="1"/>
    <s v="UPI Lite"/>
    <s v="None"/>
    <s v="None"/>
    <n v="32166"/>
    <n v="6741"/>
    <n v="24502"/>
    <n v="923"/>
    <n v="0"/>
  </r>
  <r>
    <x v="78"/>
    <x v="3"/>
    <s v="Sunday"/>
    <x v="2"/>
    <n v="290"/>
    <x v="1"/>
    <s v="UPI Lite"/>
    <s v="None"/>
    <s v="None"/>
    <n v="31876"/>
    <n v="6741"/>
    <n v="24502"/>
    <n v="633"/>
    <n v="0"/>
  </r>
  <r>
    <x v="79"/>
    <x v="3"/>
    <s v="Monday"/>
    <x v="2"/>
    <n v="190"/>
    <x v="1"/>
    <s v="UPI Lite"/>
    <s v="None"/>
    <s v="None"/>
    <n v="31686"/>
    <n v="6741"/>
    <n v="24502"/>
    <n v="443"/>
    <n v="0"/>
  </r>
  <r>
    <x v="80"/>
    <x v="3"/>
    <s v="Tuesday"/>
    <x v="2"/>
    <n v="220"/>
    <x v="1"/>
    <s v="UPI Lite"/>
    <s v="None"/>
    <s v="None"/>
    <n v="31466"/>
    <n v="6741"/>
    <n v="24502"/>
    <n v="223"/>
    <n v="0"/>
  </r>
  <r>
    <x v="80"/>
    <x v="3"/>
    <s v="Tuesday"/>
    <x v="12"/>
    <n v="10"/>
    <x v="0"/>
    <s v="SBI"/>
    <s v="None"/>
    <s v="Hide and seek cashback"/>
    <n v="31476"/>
    <n v="6741"/>
    <n v="24512"/>
    <n v="223"/>
    <n v="0"/>
  </r>
  <r>
    <x v="81"/>
    <x v="3"/>
    <s v="Wednesday"/>
    <x v="2"/>
    <n v="160"/>
    <x v="1"/>
    <s v="UPI Lite"/>
    <s v="None"/>
    <s v="None"/>
    <n v="31316"/>
    <n v="6741"/>
    <n v="24512"/>
    <n v="63"/>
    <n v="0"/>
  </r>
  <r>
    <x v="81"/>
    <x v="3"/>
    <s v="Wednesday"/>
    <x v="11"/>
    <n v="30"/>
    <x v="1"/>
    <s v="UPI Lite"/>
    <s v="None"/>
    <s v="Shoe Laces"/>
    <n v="31286"/>
    <n v="6741"/>
    <n v="24512"/>
    <n v="33"/>
    <n v="0"/>
  </r>
  <r>
    <x v="82"/>
    <x v="3"/>
    <s v="Thursday"/>
    <x v="4"/>
    <n v="1967"/>
    <x v="2"/>
    <s v="HDFC"/>
    <s v="UPI Lite"/>
    <s v="None"/>
    <n v="31286"/>
    <n v="4774"/>
    <n v="24512"/>
    <n v="2000"/>
    <n v="0"/>
  </r>
  <r>
    <x v="82"/>
    <x v="3"/>
    <s v="Thursday"/>
    <x v="2"/>
    <n v="524"/>
    <x v="1"/>
    <s v="UPI Lite"/>
    <s v="None"/>
    <s v="Peanut butter chocolate pintola"/>
    <n v="30762"/>
    <n v="4774"/>
    <n v="24512"/>
    <n v="1476"/>
    <n v="0"/>
  </r>
  <r>
    <x v="83"/>
    <x v="4"/>
    <m/>
    <x v="13"/>
    <m/>
    <x v="3"/>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434FF1-D39D-4C82-A41A-780671C3619E}" name="RunnigTotalExpenses"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
  <location ref="A3:B26" firstHeaderRow="1" firstDataRow="2" firstDataCol="1" rowPageCount="1" colPageCount="1"/>
  <pivotFields count="17">
    <pivotField showAll="0">
      <items count="85">
        <item x="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8"/>
        <item x="65"/>
        <item x="66"/>
        <item x="67"/>
        <item x="69"/>
        <item x="70"/>
        <item x="71"/>
        <item x="72"/>
        <item x="73"/>
        <item x="74"/>
        <item x="75"/>
        <item x="76"/>
        <item x="77"/>
        <item x="78"/>
        <item x="79"/>
        <item x="80"/>
        <item x="81"/>
        <item x="82"/>
        <item t="default"/>
      </items>
    </pivotField>
    <pivotField axis="axisPage" multipleItemSelectionAllowed="1" showAll="0">
      <items count="6">
        <item h="1" x="1"/>
        <item h="1" x="2"/>
        <item x="3"/>
        <item h="1" x="0"/>
        <item h="1" x="4"/>
        <item t="default"/>
      </items>
    </pivotField>
    <pivotField showAll="0"/>
    <pivotField showAll="0">
      <items count="15">
        <item x="10"/>
        <item x="12"/>
        <item x="1"/>
        <item x="2"/>
        <item x="9"/>
        <item x="5"/>
        <item x="11"/>
        <item x="8"/>
        <item h="1" x="6"/>
        <item x="0"/>
        <item x="4"/>
        <item x="3"/>
        <item x="7"/>
        <item x="13"/>
        <item t="default"/>
      </items>
    </pivotField>
    <pivotField dataField="1" showAll="0"/>
    <pivotField axis="axisCol" showAll="0">
      <items count="5">
        <item x="1"/>
        <item h="1" x="0"/>
        <item h="1" x="2"/>
        <item h="1" x="3"/>
        <item t="default"/>
      </items>
    </pivotField>
    <pivotField showAll="0"/>
    <pivotField showAll="0"/>
    <pivotField showAll="0"/>
    <pivotField showAll="0"/>
    <pivotField showAll="0"/>
    <pivotField showAll="0"/>
    <pivotField showAll="0"/>
    <pivotField showAll="0"/>
    <pivotField axis="axisRow"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1">
    <field x="14"/>
  </rowFields>
  <rowItems count="22">
    <i>
      <x v="60"/>
    </i>
    <i>
      <x v="61"/>
    </i>
    <i>
      <x v="62"/>
    </i>
    <i>
      <x v="63"/>
    </i>
    <i>
      <x v="64"/>
    </i>
    <i>
      <x v="65"/>
    </i>
    <i>
      <x v="66"/>
    </i>
    <i>
      <x v="67"/>
    </i>
    <i>
      <x v="68"/>
    </i>
    <i>
      <x v="69"/>
    </i>
    <i>
      <x v="70"/>
    </i>
    <i>
      <x v="71"/>
    </i>
    <i>
      <x v="72"/>
    </i>
    <i>
      <x v="73"/>
    </i>
    <i>
      <x v="74"/>
    </i>
    <i>
      <x v="75"/>
    </i>
    <i>
      <x v="76"/>
    </i>
    <i>
      <x v="77"/>
    </i>
    <i>
      <x v="78"/>
    </i>
    <i>
      <x v="79"/>
    </i>
    <i>
      <x v="80"/>
    </i>
    <i t="grand">
      <x/>
    </i>
  </rowItems>
  <colFields count="1">
    <field x="5"/>
  </colFields>
  <colItems count="1">
    <i>
      <x/>
    </i>
  </colItems>
  <pageFields count="1">
    <pageField fld="1" hier="-1"/>
  </pageFields>
  <dataFields count="1">
    <dataField name="Sum of Amount" fld="4" showDataAs="runTotal" baseField="14" baseItem="153"/>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712C29-580C-4963-9A24-5678C2AA24F8}" name="Calander"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7">
  <location ref="J3:K87" firstHeaderRow="1" firstDataRow="2" firstDataCol="1" rowPageCount="1" colPageCount="1"/>
  <pivotFields count="17">
    <pivotField showAll="0">
      <items count="85">
        <item x="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8"/>
        <item x="65"/>
        <item x="66"/>
        <item x="67"/>
        <item x="69"/>
        <item x="70"/>
        <item x="71"/>
        <item x="72"/>
        <item x="73"/>
        <item x="74"/>
        <item x="75"/>
        <item x="76"/>
        <item x="77"/>
        <item x="78"/>
        <item x="79"/>
        <item x="80"/>
        <item x="81"/>
        <item x="82"/>
        <item t="default"/>
      </items>
    </pivotField>
    <pivotField axis="axisPage" showAll="0">
      <items count="6">
        <item x="1"/>
        <item x="2"/>
        <item x="3"/>
        <item x="0"/>
        <item x="4"/>
        <item t="default"/>
      </items>
    </pivotField>
    <pivotField showAll="0"/>
    <pivotField showAll="0">
      <items count="15">
        <item h="1" x="10"/>
        <item h="1" x="12"/>
        <item x="1"/>
        <item x="2"/>
        <item h="1" x="9"/>
        <item x="5"/>
        <item x="11"/>
        <item x="8"/>
        <item h="1" x="6"/>
        <item x="0"/>
        <item h="1" x="4"/>
        <item x="3"/>
        <item x="7"/>
        <item h="1" x="13"/>
        <item t="default"/>
      </items>
    </pivotField>
    <pivotField dataField="1" showAll="0"/>
    <pivotField axis="axisCol" showAll="0">
      <items count="5">
        <item x="1"/>
        <item h="1" x="0"/>
        <item h="1" x="2"/>
        <item h="1" x="3"/>
        <item t="default"/>
      </items>
    </pivotField>
    <pivotField showAll="0"/>
    <pivotField showAll="0"/>
    <pivotField showAll="0"/>
    <pivotField showAll="0"/>
    <pivotField showAll="0"/>
    <pivotField showAll="0"/>
    <pivotField showAll="0"/>
    <pivotField showAll="0"/>
    <pivotField axis="axisRow" numFmtId="164"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1">
    <field x="14"/>
  </rowFields>
  <rowItems count="83">
    <i>
      <x/>
    </i>
    <i>
      <x v="1"/>
    </i>
    <i>
      <x v="2"/>
    </i>
    <i>
      <x v="3"/>
    </i>
    <i>
      <x v="4"/>
    </i>
    <i>
      <x v="5"/>
    </i>
    <i>
      <x v="6"/>
    </i>
    <i>
      <x v="7"/>
    </i>
    <i>
      <x v="8"/>
    </i>
    <i>
      <x v="9"/>
    </i>
    <i>
      <x v="10"/>
    </i>
    <i>
      <x v="11"/>
    </i>
    <i>
      <x v="12"/>
    </i>
    <i>
      <x v="13"/>
    </i>
    <i>
      <x v="14"/>
    </i>
    <i>
      <x v="15"/>
    </i>
    <i>
      <x v="16"/>
    </i>
    <i>
      <x v="17"/>
    </i>
    <i>
      <x v="18"/>
    </i>
    <i>
      <x v="19"/>
    </i>
    <i>
      <x v="24"/>
    </i>
    <i>
      <x v="26"/>
    </i>
    <i>
      <x v="27"/>
    </i>
    <i>
      <x v="28"/>
    </i>
    <i>
      <x v="29"/>
    </i>
    <i>
      <x v="30"/>
    </i>
    <i>
      <x v="31"/>
    </i>
    <i>
      <x v="32"/>
    </i>
    <i>
      <x v="34"/>
    </i>
    <i>
      <x v="35"/>
    </i>
    <i>
      <x v="36"/>
    </i>
    <i>
      <x v="37"/>
    </i>
    <i>
      <x v="38"/>
    </i>
    <i>
      <x v="39"/>
    </i>
    <i>
      <x v="40"/>
    </i>
    <i>
      <x v="41"/>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358"/>
    </i>
    <i>
      <x v="359"/>
    </i>
    <i>
      <x v="360"/>
    </i>
    <i>
      <x v="361"/>
    </i>
    <i>
      <x v="362"/>
    </i>
    <i>
      <x v="363"/>
    </i>
    <i>
      <x v="364"/>
    </i>
    <i>
      <x v="365"/>
    </i>
    <i t="grand">
      <x/>
    </i>
  </rowItems>
  <colFields count="1">
    <field x="5"/>
  </colFields>
  <colItems count="1">
    <i>
      <x/>
    </i>
  </colItems>
  <pageFields count="1">
    <pageField fld="1" hier="-1"/>
  </pageFields>
  <dataFields count="1">
    <dataField name="Sum of Amount" fld="4" baseField="9" baseItem="153"/>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782E384-9B19-48B9-A1D4-D155C8077689}" name="DailyTotal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G3:H25" firstHeaderRow="1" firstDataRow="2" firstDataCol="1" rowPageCount="1" colPageCount="1"/>
  <pivotFields count="17">
    <pivotField showAll="0">
      <items count="85">
        <item x="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8"/>
        <item x="65"/>
        <item x="66"/>
        <item x="67"/>
        <item x="69"/>
        <item x="70"/>
        <item x="71"/>
        <item x="72"/>
        <item x="73"/>
        <item x="74"/>
        <item x="75"/>
        <item x="76"/>
        <item x="77"/>
        <item x="78"/>
        <item x="79"/>
        <item x="80"/>
        <item x="81"/>
        <item x="82"/>
        <item t="default"/>
      </items>
    </pivotField>
    <pivotField axis="axisPage" multipleItemSelectionAllowed="1" showAll="0">
      <items count="6">
        <item h="1" x="1"/>
        <item h="1" x="2"/>
        <item x="3"/>
        <item h="1" x="0"/>
        <item h="1" x="4"/>
        <item t="default"/>
      </items>
    </pivotField>
    <pivotField showAll="0"/>
    <pivotField showAll="0">
      <items count="15">
        <item x="10"/>
        <item x="12"/>
        <item x="1"/>
        <item x="2"/>
        <item x="9"/>
        <item x="5"/>
        <item x="11"/>
        <item x="8"/>
        <item h="1" x="6"/>
        <item x="0"/>
        <item x="4"/>
        <item x="3"/>
        <item x="7"/>
        <item x="13"/>
        <item t="default"/>
      </items>
    </pivotField>
    <pivotField dataField="1" showAll="0"/>
    <pivotField axis="axisCol" showAll="0">
      <items count="5">
        <item x="1"/>
        <item h="1" x="0"/>
        <item h="1" x="2"/>
        <item h="1" x="3"/>
        <item t="default"/>
      </items>
    </pivotField>
    <pivotField showAll="0"/>
    <pivotField showAll="0"/>
    <pivotField showAll="0"/>
    <pivotField showAll="0"/>
    <pivotField showAll="0"/>
    <pivotField showAll="0"/>
    <pivotField showAll="0"/>
    <pivotField showAll="0"/>
    <pivotField axis="axisRow" numFmtId="164"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1">
    <field x="14"/>
  </rowFields>
  <rowItems count="21">
    <i>
      <x v="60"/>
    </i>
    <i>
      <x v="61"/>
    </i>
    <i>
      <x v="62"/>
    </i>
    <i>
      <x v="63"/>
    </i>
    <i>
      <x v="64"/>
    </i>
    <i>
      <x v="65"/>
    </i>
    <i>
      <x v="66"/>
    </i>
    <i>
      <x v="67"/>
    </i>
    <i>
      <x v="68"/>
    </i>
    <i>
      <x v="69"/>
    </i>
    <i>
      <x v="70"/>
    </i>
    <i>
      <x v="71"/>
    </i>
    <i>
      <x v="72"/>
    </i>
    <i>
      <x v="73"/>
    </i>
    <i>
      <x v="74"/>
    </i>
    <i>
      <x v="75"/>
    </i>
    <i>
      <x v="76"/>
    </i>
    <i>
      <x v="77"/>
    </i>
    <i>
      <x v="78"/>
    </i>
    <i>
      <x v="79"/>
    </i>
    <i>
      <x v="80"/>
    </i>
  </rowItems>
  <colFields count="1">
    <field x="5"/>
  </colFields>
  <colItems count="1">
    <i>
      <x/>
    </i>
  </colItems>
  <pageFields count="1">
    <pageField fld="1" hier="-1"/>
  </pageFields>
  <dataFields count="1">
    <dataField name="Sum of Amount" fld="4" baseField="9" baseItem="153"/>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2"/>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3CA4FB-B070-4166-A7C1-FA314C0C19B1}" name="CatagoryWis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1">
  <location ref="D3:E10" firstHeaderRow="1" firstDataRow="2" firstDataCol="1" rowPageCount="1" colPageCount="1"/>
  <pivotFields count="17">
    <pivotField showAll="0">
      <items count="85">
        <item x="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8"/>
        <item x="65"/>
        <item x="66"/>
        <item x="67"/>
        <item x="69"/>
        <item x="70"/>
        <item x="71"/>
        <item x="72"/>
        <item x="73"/>
        <item x="74"/>
        <item x="75"/>
        <item x="76"/>
        <item x="77"/>
        <item x="78"/>
        <item x="79"/>
        <item x="80"/>
        <item x="81"/>
        <item x="82"/>
        <item t="default"/>
      </items>
    </pivotField>
    <pivotField axis="axisPage" multipleItemSelectionAllowed="1" showAll="0">
      <items count="6">
        <item h="1" x="1"/>
        <item h="1" x="2"/>
        <item x="3"/>
        <item h="1" x="0"/>
        <item h="1" x="4"/>
        <item t="default"/>
      </items>
    </pivotField>
    <pivotField showAll="0"/>
    <pivotField axis="axisRow" showAll="0">
      <items count="15">
        <item h="1" x="10"/>
        <item h="1" x="12"/>
        <item x="1"/>
        <item x="2"/>
        <item x="9"/>
        <item x="5"/>
        <item x="11"/>
        <item x="8"/>
        <item x="6"/>
        <item x="0"/>
        <item h="1" x="4"/>
        <item x="3"/>
        <item x="7"/>
        <item h="1" x="13"/>
        <item t="default"/>
      </items>
    </pivotField>
    <pivotField dataField="1" showAll="0"/>
    <pivotField axis="axisCol" showAll="0">
      <items count="5">
        <item x="1"/>
        <item h="1" x="0"/>
        <item h="1" x="2"/>
        <item h="1" x="3"/>
        <item t="default"/>
      </items>
    </pivotField>
    <pivotField showAll="0"/>
    <pivotField showAll="0"/>
    <pivotField showAll="0"/>
    <pivotField showAll="0"/>
    <pivotField showAll="0"/>
    <pivotField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1">
    <field x="3"/>
  </rowFields>
  <rowItems count="6">
    <i>
      <x v="2"/>
    </i>
    <i>
      <x v="3"/>
    </i>
    <i>
      <x v="6"/>
    </i>
    <i>
      <x v="8"/>
    </i>
    <i>
      <x v="11"/>
    </i>
    <i t="grand">
      <x/>
    </i>
  </rowItems>
  <colFields count="1">
    <field x="5"/>
  </colFields>
  <colItems count="1">
    <i>
      <x/>
    </i>
  </colItems>
  <pageFields count="1">
    <pageField fld="1" hier="-1"/>
  </pageFields>
  <dataFields count="1">
    <dataField name="Sum of Amount" fld="4" baseField="0" baseItem="0"/>
  </dataFields>
  <chartFormats count="22">
    <chartFormat chart="0" format="0" series="1">
      <pivotArea type="data" outline="0" fieldPosition="0">
        <references count="2">
          <reference field="4294967294" count="1" selected="0">
            <x v="0"/>
          </reference>
          <reference field="5" count="1" selected="0">
            <x v="0"/>
          </reference>
        </references>
      </pivotArea>
    </chartFormat>
    <chartFormat chart="1" format="0" series="1">
      <pivotArea type="data" outline="0" fieldPosition="0">
        <references count="2">
          <reference field="4294967294" count="1" selected="0">
            <x v="0"/>
          </reference>
          <reference field="5" count="1" selected="0">
            <x v="0"/>
          </reference>
        </references>
      </pivotArea>
    </chartFormat>
    <chartFormat chart="2" format="0" series="1">
      <pivotArea type="data" outline="0" fieldPosition="0">
        <references count="2">
          <reference field="4294967294" count="1" selected="0">
            <x v="0"/>
          </reference>
          <reference field="5" count="1" selected="0">
            <x v="0"/>
          </reference>
        </references>
      </pivotArea>
    </chartFormat>
    <chartFormat chart="3" format="0" series="1">
      <pivotArea type="data" outline="0" fieldPosition="0">
        <references count="2">
          <reference field="4294967294" count="1" selected="0">
            <x v="0"/>
          </reference>
          <reference field="5" count="1" selected="0">
            <x v="0"/>
          </reference>
        </references>
      </pivotArea>
    </chartFormat>
    <chartFormat chart="4" format="0" series="1">
      <pivotArea type="data" outline="0" fieldPosition="0">
        <references count="2">
          <reference field="4294967294" count="1" selected="0">
            <x v="0"/>
          </reference>
          <reference field="5" count="1" selected="0">
            <x v="0"/>
          </reference>
        </references>
      </pivotArea>
    </chartFormat>
    <chartFormat chart="5" format="0" series="1">
      <pivotArea type="data" outline="0" fieldPosition="0">
        <references count="2">
          <reference field="4294967294" count="1" selected="0">
            <x v="0"/>
          </reference>
          <reference field="5" count="1" selected="0">
            <x v="0"/>
          </reference>
        </references>
      </pivotArea>
    </chartFormat>
    <chartFormat chart="6" format="0" series="1">
      <pivotArea type="data" outline="0" fieldPosition="0">
        <references count="2">
          <reference field="4294967294" count="1" selected="0">
            <x v="0"/>
          </reference>
          <reference field="5" count="1" selected="0">
            <x v="0"/>
          </reference>
        </references>
      </pivotArea>
    </chartFormat>
    <chartFormat chart="7" format="0" series="1">
      <pivotArea type="data" outline="0" fieldPosition="0">
        <references count="2">
          <reference field="4294967294" count="1" selected="0">
            <x v="0"/>
          </reference>
          <reference field="5" count="1" selected="0">
            <x v="0"/>
          </reference>
        </references>
      </pivotArea>
    </chartFormat>
    <chartFormat chart="8" format="0" series="1">
      <pivotArea type="data" outline="0" fieldPosition="0">
        <references count="2">
          <reference field="4294967294" count="1" selected="0">
            <x v="0"/>
          </reference>
          <reference field="5" count="1" selected="0">
            <x v="0"/>
          </reference>
        </references>
      </pivotArea>
    </chartFormat>
    <chartFormat chart="9" format="0" series="1">
      <pivotArea type="data" outline="0" fieldPosition="0">
        <references count="2">
          <reference field="4294967294" count="1" selected="0">
            <x v="0"/>
          </reference>
          <reference field="5" count="1" selected="0">
            <x v="0"/>
          </reference>
        </references>
      </pivotArea>
    </chartFormat>
    <chartFormat chart="10" format="0" series="1">
      <pivotArea type="data" outline="0" fieldPosition="0">
        <references count="2">
          <reference field="4294967294" count="1" selected="0">
            <x v="0"/>
          </reference>
          <reference field="5" count="1" selected="0">
            <x v="0"/>
          </reference>
        </references>
      </pivotArea>
    </chartFormat>
    <chartFormat chart="11" format="0" series="1">
      <pivotArea type="data" outline="0" fieldPosition="0">
        <references count="2">
          <reference field="4294967294" count="1" selected="0">
            <x v="0"/>
          </reference>
          <reference field="5"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2">
          <reference field="4294967294" count="1" selected="0">
            <x v="0"/>
          </reference>
          <reference field="5" count="1" selected="0">
            <x v="2"/>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3" count="1" selected="0">
            <x v="2"/>
          </reference>
        </references>
      </pivotArea>
    </chartFormat>
    <chartFormat chart="18" format="2">
      <pivotArea type="data" outline="0" fieldPosition="0">
        <references count="2">
          <reference field="4294967294" count="1" selected="0">
            <x v="0"/>
          </reference>
          <reference field="3" count="1" selected="0">
            <x v="3"/>
          </reference>
        </references>
      </pivotArea>
    </chartFormat>
    <chartFormat chart="18" format="3">
      <pivotArea type="data" outline="0" fieldPosition="0">
        <references count="2">
          <reference field="4294967294" count="1" selected="0">
            <x v="0"/>
          </reference>
          <reference field="3" count="1" selected="0">
            <x v="6"/>
          </reference>
        </references>
      </pivotArea>
    </chartFormat>
    <chartFormat chart="18" format="4">
      <pivotArea type="data" outline="0" fieldPosition="0">
        <references count="2">
          <reference field="4294967294" count="1" selected="0">
            <x v="0"/>
          </reference>
          <reference field="3" count="1" selected="0">
            <x v="8"/>
          </reference>
        </references>
      </pivotArea>
    </chartFormat>
    <chartFormat chart="18" format="5">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FE4D4CC-0FB3-4494-A28A-C5A235DC5812}" name="PivotTable4"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21">
  <location ref="M3:N10" firstHeaderRow="1" firstDataRow="2" firstDataCol="1" rowPageCount="1" colPageCount="1"/>
  <pivotFields count="17">
    <pivotField showAll="0">
      <items count="85">
        <item x="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8"/>
        <item x="65"/>
        <item x="66"/>
        <item x="67"/>
        <item x="69"/>
        <item x="70"/>
        <item x="71"/>
        <item x="72"/>
        <item x="73"/>
        <item x="74"/>
        <item x="75"/>
        <item x="76"/>
        <item x="77"/>
        <item x="78"/>
        <item x="79"/>
        <item x="80"/>
        <item x="81"/>
        <item x="82"/>
        <item t="default"/>
      </items>
    </pivotField>
    <pivotField axis="axisPage" multipleItemSelectionAllowed="1" showAll="0">
      <items count="6">
        <item h="1" x="1"/>
        <item h="1" x="2"/>
        <item x="3"/>
        <item h="1" x="0"/>
        <item h="1" x="4"/>
        <item t="default"/>
      </items>
    </pivotField>
    <pivotField showAll="0"/>
    <pivotField axis="axisRow" showAll="0">
      <items count="15">
        <item h="1" x="10"/>
        <item h="1" x="12"/>
        <item x="1"/>
        <item x="2"/>
        <item x="9"/>
        <item x="5"/>
        <item x="11"/>
        <item x="8"/>
        <item x="6"/>
        <item x="0"/>
        <item h="1" x="4"/>
        <item x="3"/>
        <item x="7"/>
        <item h="1" x="13"/>
        <item t="default"/>
      </items>
    </pivotField>
    <pivotField dataField="1" showAll="0"/>
    <pivotField axis="axisCol" showAll="0">
      <items count="5">
        <item x="1"/>
        <item h="1" x="0"/>
        <item h="1" x="2"/>
        <item h="1" x="3"/>
        <item t="default"/>
      </items>
    </pivotField>
    <pivotField showAll="0"/>
    <pivotField showAll="0"/>
    <pivotField showAll="0"/>
    <pivotField showAll="0"/>
    <pivotField showAll="0"/>
    <pivotField showAll="0"/>
    <pivotField showAll="0"/>
    <pivotField showAll="0"/>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dragToRow="0" dragToCol="0" dragToPage="0" showAll="0" defaultSubtotal="0"/>
  </pivotFields>
  <rowFields count="1">
    <field x="3"/>
  </rowFields>
  <rowItems count="6">
    <i>
      <x v="2"/>
    </i>
    <i>
      <x v="3"/>
    </i>
    <i>
      <x v="6"/>
    </i>
    <i>
      <x v="8"/>
    </i>
    <i>
      <x v="11"/>
    </i>
    <i t="grand">
      <x/>
    </i>
  </rowItems>
  <colFields count="1">
    <field x="5"/>
  </colFields>
  <colItems count="1">
    <i>
      <x/>
    </i>
  </colItems>
  <pageFields count="1">
    <pageField fld="1" hier="-1"/>
  </pageFields>
  <dataFields count="1">
    <dataField name="Average of Amount" fld="4" subtotal="average" baseField="3" baseItem="7"/>
  </dataFields>
  <chartFormats count="22">
    <chartFormat chart="0" format="0" series="1">
      <pivotArea type="data" outline="0" fieldPosition="0">
        <references count="2">
          <reference field="4294967294" count="1" selected="0">
            <x v="0"/>
          </reference>
          <reference field="5" count="1" selected="0">
            <x v="0"/>
          </reference>
        </references>
      </pivotArea>
    </chartFormat>
    <chartFormat chart="1" format="0" series="1">
      <pivotArea type="data" outline="0" fieldPosition="0">
        <references count="2">
          <reference field="4294967294" count="1" selected="0">
            <x v="0"/>
          </reference>
          <reference field="5" count="1" selected="0">
            <x v="0"/>
          </reference>
        </references>
      </pivotArea>
    </chartFormat>
    <chartFormat chart="2" format="0" series="1">
      <pivotArea type="data" outline="0" fieldPosition="0">
        <references count="2">
          <reference field="4294967294" count="1" selected="0">
            <x v="0"/>
          </reference>
          <reference field="5" count="1" selected="0">
            <x v="0"/>
          </reference>
        </references>
      </pivotArea>
    </chartFormat>
    <chartFormat chart="3" format="0" series="1">
      <pivotArea type="data" outline="0" fieldPosition="0">
        <references count="2">
          <reference field="4294967294" count="1" selected="0">
            <x v="0"/>
          </reference>
          <reference field="5" count="1" selected="0">
            <x v="0"/>
          </reference>
        </references>
      </pivotArea>
    </chartFormat>
    <chartFormat chart="4" format="0" series="1">
      <pivotArea type="data" outline="0" fieldPosition="0">
        <references count="2">
          <reference field="4294967294" count="1" selected="0">
            <x v="0"/>
          </reference>
          <reference field="5" count="1" selected="0">
            <x v="0"/>
          </reference>
        </references>
      </pivotArea>
    </chartFormat>
    <chartFormat chart="5" format="0" series="1">
      <pivotArea type="data" outline="0" fieldPosition="0">
        <references count="2">
          <reference field="4294967294" count="1" selected="0">
            <x v="0"/>
          </reference>
          <reference field="5" count="1" selected="0">
            <x v="0"/>
          </reference>
        </references>
      </pivotArea>
    </chartFormat>
    <chartFormat chart="6" format="0" series="1">
      <pivotArea type="data" outline="0" fieldPosition="0">
        <references count="2">
          <reference field="4294967294" count="1" selected="0">
            <x v="0"/>
          </reference>
          <reference field="5" count="1" selected="0">
            <x v="0"/>
          </reference>
        </references>
      </pivotArea>
    </chartFormat>
    <chartFormat chart="7" format="0" series="1">
      <pivotArea type="data" outline="0" fieldPosition="0">
        <references count="2">
          <reference field="4294967294" count="1" selected="0">
            <x v="0"/>
          </reference>
          <reference field="5" count="1" selected="0">
            <x v="0"/>
          </reference>
        </references>
      </pivotArea>
    </chartFormat>
    <chartFormat chart="8" format="0" series="1">
      <pivotArea type="data" outline="0" fieldPosition="0">
        <references count="2">
          <reference field="4294967294" count="1" selected="0">
            <x v="0"/>
          </reference>
          <reference field="5" count="1" selected="0">
            <x v="0"/>
          </reference>
        </references>
      </pivotArea>
    </chartFormat>
    <chartFormat chart="9" format="0" series="1">
      <pivotArea type="data" outline="0" fieldPosition="0">
        <references count="2">
          <reference field="4294967294" count="1" selected="0">
            <x v="0"/>
          </reference>
          <reference field="5" count="1" selected="0">
            <x v="0"/>
          </reference>
        </references>
      </pivotArea>
    </chartFormat>
    <chartFormat chart="10" format="0" series="1">
      <pivotArea type="data" outline="0" fieldPosition="0">
        <references count="2">
          <reference field="4294967294" count="1" selected="0">
            <x v="0"/>
          </reference>
          <reference field="5" count="1" selected="0">
            <x v="0"/>
          </reference>
        </references>
      </pivotArea>
    </chartFormat>
    <chartFormat chart="11" format="0" series="1">
      <pivotArea type="data" outline="0" fieldPosition="0">
        <references count="2">
          <reference field="4294967294" count="1" selected="0">
            <x v="0"/>
          </reference>
          <reference field="5" count="1" selected="0">
            <x v="0"/>
          </reference>
        </references>
      </pivotArea>
    </chartFormat>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2">
          <reference field="4294967294" count="1" selected="0">
            <x v="0"/>
          </reference>
          <reference field="5" count="1" selected="0">
            <x v="2"/>
          </reference>
        </references>
      </pivotArea>
    </chartFormat>
    <chartFormat chart="15"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3" count="1" selected="0">
            <x v="2"/>
          </reference>
        </references>
      </pivotArea>
    </chartFormat>
    <chartFormat chart="18" format="2">
      <pivotArea type="data" outline="0" fieldPosition="0">
        <references count="2">
          <reference field="4294967294" count="1" selected="0">
            <x v="0"/>
          </reference>
          <reference field="3" count="1" selected="0">
            <x v="3"/>
          </reference>
        </references>
      </pivotArea>
    </chartFormat>
    <chartFormat chart="18" format="3">
      <pivotArea type="data" outline="0" fieldPosition="0">
        <references count="2">
          <reference field="4294967294" count="1" selected="0">
            <x v="0"/>
          </reference>
          <reference field="3" count="1" selected="0">
            <x v="6"/>
          </reference>
        </references>
      </pivotArea>
    </chartFormat>
    <chartFormat chart="18" format="4">
      <pivotArea type="data" outline="0" fieldPosition="0">
        <references count="2">
          <reference field="4294967294" count="1" selected="0">
            <x v="0"/>
          </reference>
          <reference field="3" count="1" selected="0">
            <x v="8"/>
          </reference>
        </references>
      </pivotArea>
    </chartFormat>
    <chartFormat chart="18" format="5">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AD07710-3BAD-4472-88C3-9F76D191C018}" sourceName="Month">
  <pivotTables>
    <pivotTable tabId="7" name="CatagoryWise"/>
    <pivotTable tabId="7" name="RunnigTotalExpenses"/>
    <pivotTable tabId="7" name="DailyTotals"/>
    <pivotTable tabId="7" name="PivotTable4"/>
  </pivotTables>
  <data>
    <tabular pivotCacheId="1044289845">
      <items count="5">
        <i x="1"/>
        <i x="2"/>
        <i x="3" s="1"/>
        <i x="0"/>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3AD3495-31F8-4B9A-8441-A888F5C65D62}" sourceName="Category">
  <pivotTables>
    <pivotTable tabId="7" name="DailyTotals"/>
    <pivotTable tabId="7" name="RunnigTotalExpenses"/>
  </pivotTables>
  <data>
    <tabular pivotCacheId="1044289845">
      <items count="14">
        <i x="10" s="1"/>
        <i x="1" s="1"/>
        <i x="2" s="1"/>
        <i x="11" s="1"/>
        <i x="6"/>
        <i x="3" s="1"/>
        <i x="12" s="1" nd="1"/>
        <i x="9" s="1" nd="1"/>
        <i x="5" s="1" nd="1"/>
        <i x="8" s="1" nd="1"/>
        <i x="0" s="1" nd="1"/>
        <i x="4" s="1" nd="1"/>
        <i x="7"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C80220C6-29E8-4B5E-9B18-213648CE3A3A}" cache="Slicer_Month" caption="Month" rowHeight="234950"/>
  <slicer name="Category" xr10:uid="{41CD18BC-022C-4358-BC9E-52F503C2F521}" cache="Slicer_Category" caption="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Z71"/>
  <sheetViews>
    <sheetView showGridLines="0" showRowColHeaders="0" zoomScaleNormal="98" workbookViewId="0">
      <selection activeCell="U49" sqref="U49"/>
    </sheetView>
  </sheetViews>
  <sheetFormatPr defaultRowHeight="14.4" x14ac:dyDescent="0.3"/>
  <cols>
    <col min="11" max="11" width="8.88671875" customWidth="1"/>
    <col min="12" max="12" width="5.5546875" customWidth="1"/>
    <col min="13" max="13" width="7.33203125" style="17" customWidth="1"/>
    <col min="14" max="14" width="14.33203125" customWidth="1"/>
    <col min="18" max="18" width="16.109375" customWidth="1"/>
    <col min="20" max="26" width="4.6640625" customWidth="1"/>
  </cols>
  <sheetData>
    <row r="1" spans="3:3" customFormat="1" x14ac:dyDescent="0.3"/>
    <row r="2" spans="3:3" customFormat="1" x14ac:dyDescent="0.3"/>
    <row r="3" spans="3:3" customFormat="1" x14ac:dyDescent="0.3"/>
    <row r="4" spans="3:3" customFormat="1" x14ac:dyDescent="0.3"/>
    <row r="5" spans="3:3" customFormat="1" x14ac:dyDescent="0.3"/>
    <row r="6" spans="3:3" customFormat="1" x14ac:dyDescent="0.3"/>
    <row r="7" spans="3:3" customFormat="1" x14ac:dyDescent="0.3"/>
    <row r="8" spans="3:3" customFormat="1" x14ac:dyDescent="0.3"/>
    <row r="9" spans="3:3" customFormat="1" x14ac:dyDescent="0.3"/>
    <row r="10" spans="3:3" customFormat="1" x14ac:dyDescent="0.3"/>
    <row r="11" spans="3:3" customFormat="1" x14ac:dyDescent="0.3">
      <c r="C11" s="7">
        <f>SUMIFS(Report!E:E,Report!F:F,"Expense",Report!B:B,Pivots!B1)</f>
        <v>10800</v>
      </c>
    </row>
    <row r="12" spans="3:3" customFormat="1" x14ac:dyDescent="0.3"/>
    <row r="13" spans="3:3" customFormat="1" x14ac:dyDescent="0.3"/>
    <row r="14" spans="3:3" customFormat="1" x14ac:dyDescent="0.3"/>
    <row r="15" spans="3:3" customFormat="1" x14ac:dyDescent="0.3"/>
    <row r="16" spans="3:3" customFormat="1" x14ac:dyDescent="0.3"/>
    <row r="17" spans="13:26" x14ac:dyDescent="0.3">
      <c r="M17"/>
    </row>
    <row r="18" spans="13:26" x14ac:dyDescent="0.3">
      <c r="M18"/>
    </row>
    <row r="19" spans="13:26" x14ac:dyDescent="0.3">
      <c r="M19"/>
    </row>
    <row r="20" spans="13:26" x14ac:dyDescent="0.3">
      <c r="M20"/>
    </row>
    <row r="21" spans="13:26" x14ac:dyDescent="0.3">
      <c r="M21"/>
    </row>
    <row r="22" spans="13:26" ht="19.2" customHeight="1" x14ac:dyDescent="0.3">
      <c r="M22" s="18" t="s">
        <v>146</v>
      </c>
      <c r="N22" s="18"/>
      <c r="O22" s="19" t="s">
        <v>147</v>
      </c>
      <c r="P22" s="27" t="str">
        <f>T22</f>
        <v>March</v>
      </c>
      <c r="Q22" s="27"/>
      <c r="R22" s="20">
        <v>2024</v>
      </c>
      <c r="T22" s="26" t="str">
        <f>Pivots!B1</f>
        <v>March</v>
      </c>
      <c r="U22" s="26"/>
    </row>
    <row r="23" spans="13:26" x14ac:dyDescent="0.3">
      <c r="M23" s="18" t="s">
        <v>0</v>
      </c>
      <c r="N23" s="18" t="s">
        <v>1</v>
      </c>
      <c r="O23" s="18" t="s">
        <v>2</v>
      </c>
      <c r="P23" s="18" t="s">
        <v>27</v>
      </c>
      <c r="Q23" s="18" t="s">
        <v>28</v>
      </c>
      <c r="R23" s="18" t="s">
        <v>3</v>
      </c>
      <c r="T23" s="15" t="s">
        <v>129</v>
      </c>
      <c r="U23" s="15" t="s">
        <v>130</v>
      </c>
      <c r="V23" s="15" t="s">
        <v>131</v>
      </c>
      <c r="W23" s="15" t="s">
        <v>132</v>
      </c>
      <c r="X23" s="15" t="s">
        <v>133</v>
      </c>
      <c r="Y23" s="15" t="s">
        <v>134</v>
      </c>
      <c r="Z23" s="15" t="s">
        <v>135</v>
      </c>
    </row>
    <row r="24" spans="13:26" ht="14.4" customHeight="1" x14ac:dyDescent="0.3">
      <c r="M24" s="17" cm="1">
        <f t="array" ref="M24:M60">IF(O22="",_xlfn._xlws.FILTER(Report!$A:$A,Report!$B:$B=Dashboard!P22,"No Data"),_xlfn._xlws.FILTER(Report!$A:$A,Report!$A:$A=DATEVALUE(Dashboard!O22&amp;" "&amp;Dashboard!P22&amp;" "&amp;Dashboard!R22),""))</f>
        <v>45352</v>
      </c>
      <c r="N24" t="str" cm="1">
        <f t="array" ref="N24:Q60">IF(O22="",_xlfn._xlws.FILTER(Report!$D:$G,Report!$B:$B=Dashboard!P22,"No Data"),_xlfn._xlws.FILTER(Report!$D:$G,Report!$A:$A=DATEVALUE(Dashboard!O22&amp;" "&amp;Dashboard!P22&amp;" "&amp;Dashboard!R22),""))</f>
        <v>Food</v>
      </c>
      <c r="O24">
        <v>241</v>
      </c>
      <c r="P24" t="str">
        <v>Expense</v>
      </c>
      <c r="Q24" t="str">
        <v>UPI Lite</v>
      </c>
      <c r="R24" t="str" cm="1">
        <f t="array" ref="R24:R60">IF(IF(O22="",_xlfn._xlws.FILTER(Report!$I:$I,Report!$B:$B=Dashboard!P22,"No Data"),_xlfn._xlws.FILTER(Report!$I:$I,Report!$A:$A=DATEVALUE(Dashboard!O22&amp;" "&amp;Dashboard!P22&amp;" "&amp;Dashboard!R22),""))="None","",IF(O22="",_xlfn._xlws.FILTER(Report!$I:$I,Report!$B:$B=Dashboard!P22,"No Data"),_xlfn._xlws.FILTER(Report!$I:$I,Report!$A:$A=DATEVALUE(Dashboard!O22&amp;" "&amp;Dashboard!P22&amp;" "&amp;Dashboard!R22),"")))</f>
        <v/>
      </c>
      <c r="T24" s="16" cm="1">
        <f t="array" ref="T24:Z29">_xlfn.SEQUENCE(6,7,DATEVALUE("1 "&amp;Pivots!B1&amp;" 2024"))-IF(WEEKDAY(DATEVALUE("1 "&amp;Pivots!B1&amp;" 2024")-2)&lt;&gt;7,WEEKDAY(DATEVALUE("1 "&amp;Pivots!B1&amp;" 2024")-2),0)</f>
        <v>45348</v>
      </c>
      <c r="U24" s="16">
        <v>45349</v>
      </c>
      <c r="V24" s="16">
        <v>45350</v>
      </c>
      <c r="W24" s="16">
        <v>45351</v>
      </c>
      <c r="X24" s="16">
        <v>45352</v>
      </c>
      <c r="Y24" s="16">
        <v>45353</v>
      </c>
      <c r="Z24" s="16">
        <v>45354</v>
      </c>
    </row>
    <row r="25" spans="13:26" x14ac:dyDescent="0.3">
      <c r="M25" s="17">
        <v>45353</v>
      </c>
      <c r="N25" t="str">
        <v>Food</v>
      </c>
      <c r="O25">
        <v>160</v>
      </c>
      <c r="P25" t="str">
        <v>Expense</v>
      </c>
      <c r="Q25" t="str">
        <v>UPI Lite</v>
      </c>
      <c r="R25" t="str">
        <v/>
      </c>
      <c r="T25" s="16">
        <v>45355</v>
      </c>
      <c r="U25" s="16">
        <v>45356</v>
      </c>
      <c r="V25" s="16">
        <v>45357</v>
      </c>
      <c r="W25" s="16">
        <v>45358</v>
      </c>
      <c r="X25" s="16">
        <v>45359</v>
      </c>
      <c r="Y25" s="16">
        <v>45360</v>
      </c>
      <c r="Z25" s="16">
        <v>45361</v>
      </c>
    </row>
    <row r="26" spans="13:26" x14ac:dyDescent="0.3">
      <c r="M26" s="17">
        <v>45354</v>
      </c>
      <c r="N26" t="str">
        <v>Bills and Utilities</v>
      </c>
      <c r="O26">
        <v>1099</v>
      </c>
      <c r="P26" t="str">
        <v>Expense</v>
      </c>
      <c r="Q26" t="str">
        <v>HDFC</v>
      </c>
      <c r="R26" t="str">
        <v>Expenses Manager</v>
      </c>
      <c r="T26" s="16">
        <v>45362</v>
      </c>
      <c r="U26" s="16">
        <v>45363</v>
      </c>
      <c r="V26" s="16">
        <v>45364</v>
      </c>
      <c r="W26" s="16">
        <v>45365</v>
      </c>
      <c r="X26" s="16">
        <v>45366</v>
      </c>
      <c r="Y26" s="16">
        <v>45367</v>
      </c>
      <c r="Z26" s="16">
        <v>45368</v>
      </c>
    </row>
    <row r="27" spans="13:26" x14ac:dyDescent="0.3">
      <c r="M27" s="17">
        <v>45354</v>
      </c>
      <c r="N27" t="str">
        <v>Food</v>
      </c>
      <c r="O27">
        <v>252</v>
      </c>
      <c r="P27" t="str">
        <v>Expense</v>
      </c>
      <c r="Q27" t="str">
        <v>UPI Lite</v>
      </c>
      <c r="R27" t="str">
        <v/>
      </c>
      <c r="T27" s="16">
        <v>45369</v>
      </c>
      <c r="U27" s="16">
        <v>45370</v>
      </c>
      <c r="V27" s="16">
        <v>45371</v>
      </c>
      <c r="W27" s="16">
        <v>45372</v>
      </c>
      <c r="X27" s="16">
        <v>45373</v>
      </c>
      <c r="Y27" s="16">
        <v>45374</v>
      </c>
      <c r="Z27" s="16">
        <v>45375</v>
      </c>
    </row>
    <row r="28" spans="13:26" x14ac:dyDescent="0.3">
      <c r="M28" s="17">
        <v>45354</v>
      </c>
      <c r="N28" t="str">
        <v>Transfer</v>
      </c>
      <c r="O28">
        <v>1849</v>
      </c>
      <c r="P28" t="str">
        <v>Transfer</v>
      </c>
      <c r="Q28" t="str">
        <v>HDFC</v>
      </c>
      <c r="R28" t="str">
        <v/>
      </c>
      <c r="T28" s="16">
        <v>45376</v>
      </c>
      <c r="U28" s="16">
        <v>45377</v>
      </c>
      <c r="V28" s="16">
        <v>45378</v>
      </c>
      <c r="W28" s="16">
        <v>45379</v>
      </c>
      <c r="X28" s="16">
        <v>45380</v>
      </c>
      <c r="Y28" s="16">
        <v>45381</v>
      </c>
      <c r="Z28" s="16">
        <v>45382</v>
      </c>
    </row>
    <row r="29" spans="13:26" x14ac:dyDescent="0.3">
      <c r="M29" s="17">
        <v>45354</v>
      </c>
      <c r="N29" t="str">
        <v>Personal Care</v>
      </c>
      <c r="O29">
        <v>10</v>
      </c>
      <c r="P29" t="str">
        <v>Expense</v>
      </c>
      <c r="Q29" t="str">
        <v>UPI Lite</v>
      </c>
      <c r="R29" t="str">
        <v>Easy</v>
      </c>
      <c r="T29" s="16">
        <v>45383</v>
      </c>
      <c r="U29" s="16">
        <v>45384</v>
      </c>
      <c r="V29" s="16">
        <v>45385</v>
      </c>
      <c r="W29" s="16">
        <v>45386</v>
      </c>
      <c r="X29" s="16">
        <v>45387</v>
      </c>
      <c r="Y29" s="16">
        <v>45388</v>
      </c>
      <c r="Z29" s="16">
        <v>45389</v>
      </c>
    </row>
    <row r="30" spans="13:26" x14ac:dyDescent="0.3">
      <c r="M30" s="17">
        <v>45354</v>
      </c>
      <c r="N30" t="str">
        <v>Cashbacks</v>
      </c>
      <c r="O30">
        <v>11</v>
      </c>
      <c r="P30" t="str">
        <v>Income</v>
      </c>
      <c r="Q30" t="str">
        <v>SBI</v>
      </c>
      <c r="R30" t="str">
        <v/>
      </c>
    </row>
    <row r="31" spans="13:26" ht="14.4" customHeight="1" x14ac:dyDescent="0.3">
      <c r="M31" s="17">
        <v>45354</v>
      </c>
      <c r="N31" t="str">
        <v>Entertainment</v>
      </c>
      <c r="O31">
        <v>210</v>
      </c>
      <c r="P31" t="str">
        <v>Expense</v>
      </c>
      <c r="Q31" t="str">
        <v>UPI Lite</v>
      </c>
      <c r="R31" t="str">
        <v>Lost</v>
      </c>
      <c r="T31" s="29" t="s">
        <v>149</v>
      </c>
      <c r="U31" s="29"/>
      <c r="V31" s="29"/>
      <c r="X31" s="12" t="s">
        <v>143</v>
      </c>
      <c r="Y31" s="12"/>
      <c r="Z31" s="12">
        <v>200</v>
      </c>
    </row>
    <row r="32" spans="13:26" x14ac:dyDescent="0.3">
      <c r="M32" s="17">
        <v>45354</v>
      </c>
      <c r="N32" t="str">
        <v>Transfer</v>
      </c>
      <c r="O32">
        <v>22500</v>
      </c>
      <c r="P32" t="str">
        <v>Transfer</v>
      </c>
      <c r="Q32" t="str">
        <v>HDFC</v>
      </c>
      <c r="R32" t="str">
        <v/>
      </c>
      <c r="T32" s="29"/>
      <c r="U32" s="29"/>
      <c r="V32" s="29"/>
      <c r="X32" s="13" t="s">
        <v>144</v>
      </c>
      <c r="Y32" s="13"/>
      <c r="Z32" s="13">
        <v>300</v>
      </c>
    </row>
    <row r="33" spans="13:26" x14ac:dyDescent="0.3">
      <c r="M33" s="17">
        <v>45355</v>
      </c>
      <c r="N33" t="str">
        <v>Food</v>
      </c>
      <c r="O33">
        <v>174</v>
      </c>
      <c r="P33" t="str">
        <v>Expense</v>
      </c>
      <c r="Q33" t="str">
        <v>UPI Lite</v>
      </c>
      <c r="R33" t="str">
        <v/>
      </c>
      <c r="T33" s="30">
        <v>30762</v>
      </c>
      <c r="U33" s="30"/>
      <c r="V33" s="30"/>
      <c r="X33" s="14" t="s">
        <v>145</v>
      </c>
      <c r="Y33" s="14"/>
      <c r="Z33" s="14">
        <v>500</v>
      </c>
    </row>
    <row r="34" spans="13:26" x14ac:dyDescent="0.3">
      <c r="M34" s="17">
        <v>45356</v>
      </c>
      <c r="N34" t="str">
        <v>Bills and Utilities</v>
      </c>
      <c r="O34">
        <v>20</v>
      </c>
      <c r="P34" t="str">
        <v>Expense</v>
      </c>
      <c r="Q34" t="str">
        <v>UPI Lite</v>
      </c>
      <c r="R34" t="str">
        <v>Bike work</v>
      </c>
    </row>
    <row r="35" spans="13:26" x14ac:dyDescent="0.3">
      <c r="M35" s="17">
        <v>45356</v>
      </c>
      <c r="N35" t="str">
        <v>Food</v>
      </c>
      <c r="O35">
        <v>200</v>
      </c>
      <c r="P35" t="str">
        <v>Expense</v>
      </c>
      <c r="Q35" t="str">
        <v>UPI Lite</v>
      </c>
      <c r="R35" t="str">
        <v/>
      </c>
      <c r="T35" s="31" t="str">
        <f>TEXT("1/"&amp;MONTH(DATEVALUE("1 "&amp;Pivots!B1))+IF(Pivots!B1="January",11,-1),"MMMM")&amp;" Salary"</f>
        <v>February Salary</v>
      </c>
      <c r="U35" s="31"/>
      <c r="V35" s="31"/>
      <c r="W35" s="31"/>
      <c r="X35" s="31"/>
      <c r="Y35" s="28">
        <f>SUMIFS(Report!E:E,Report!B:B,TEXT("1/"&amp;MONTH(DATEVALUE("1 "&amp;Pivots!B1))-IF(Pivots!B1="January",-11,1),"MMMM"),Report!D:D,"Salary")</f>
        <v>25027</v>
      </c>
      <c r="Z35" s="28"/>
    </row>
    <row r="36" spans="13:26" x14ac:dyDescent="0.3">
      <c r="M36" s="17">
        <v>45356</v>
      </c>
      <c r="N36" t="str">
        <v>Personal Care</v>
      </c>
      <c r="O36">
        <v>340</v>
      </c>
      <c r="P36" t="str">
        <v>Expense</v>
      </c>
      <c r="Q36" t="str">
        <v>UPI Lite</v>
      </c>
      <c r="R36" t="str">
        <v>Socks</v>
      </c>
      <c r="T36" s="31" t="str">
        <f>P22&amp;" Expense"</f>
        <v>March Expense</v>
      </c>
      <c r="U36" s="31"/>
      <c r="V36" s="31"/>
      <c r="W36" s="31"/>
      <c r="X36" s="31"/>
      <c r="Y36" s="28">
        <f>C11</f>
        <v>10800</v>
      </c>
      <c r="Z36" s="28"/>
    </row>
    <row r="37" spans="13:26" x14ac:dyDescent="0.3">
      <c r="M37" s="17">
        <v>45357</v>
      </c>
      <c r="N37" t="str">
        <v>Food</v>
      </c>
      <c r="O37">
        <v>130</v>
      </c>
      <c r="P37" t="str">
        <v>Expense</v>
      </c>
      <c r="Q37" t="str">
        <v>UPI Lite</v>
      </c>
      <c r="R37" t="str">
        <v/>
      </c>
      <c r="T37" s="31" t="s">
        <v>148</v>
      </c>
      <c r="U37" s="31"/>
      <c r="V37" s="31"/>
      <c r="W37" s="31"/>
      <c r="X37" s="31"/>
      <c r="Y37" s="28">
        <f>Y35-Y36</f>
        <v>14227</v>
      </c>
      <c r="Z37" s="28"/>
    </row>
    <row r="38" spans="13:26" x14ac:dyDescent="0.3">
      <c r="M38" s="17">
        <v>45358</v>
      </c>
      <c r="N38" t="str">
        <v>Food</v>
      </c>
      <c r="O38">
        <v>90</v>
      </c>
      <c r="P38" t="str">
        <v>Expense</v>
      </c>
      <c r="Q38" t="str">
        <v>UPI Lite</v>
      </c>
      <c r="R38" t="str">
        <v/>
      </c>
    </row>
    <row r="39" spans="13:26" x14ac:dyDescent="0.3">
      <c r="M39" s="17">
        <v>45359</v>
      </c>
      <c r="N39" t="str">
        <v>Food</v>
      </c>
      <c r="O39">
        <v>474</v>
      </c>
      <c r="P39" t="str">
        <v>Expense</v>
      </c>
      <c r="Q39" t="str">
        <v>UPI Lite</v>
      </c>
      <c r="R39" t="str">
        <v/>
      </c>
    </row>
    <row r="40" spans="13:26" x14ac:dyDescent="0.3">
      <c r="M40" s="17">
        <v>45359</v>
      </c>
      <c r="N40" t="str">
        <v>Rent</v>
      </c>
      <c r="O40">
        <v>3500</v>
      </c>
      <c r="P40" t="str">
        <v>Expense</v>
      </c>
      <c r="Q40" t="str">
        <v>HDFC</v>
      </c>
      <c r="R40" t="str">
        <v/>
      </c>
      <c r="T40" s="24"/>
      <c r="U40" s="24"/>
      <c r="V40" s="24"/>
      <c r="W40" s="24"/>
      <c r="X40" s="24"/>
      <c r="Y40" s="24"/>
    </row>
    <row r="41" spans="13:26" x14ac:dyDescent="0.3">
      <c r="M41" s="17">
        <v>45360</v>
      </c>
      <c r="N41" t="str">
        <v>Food</v>
      </c>
      <c r="O41">
        <v>170</v>
      </c>
      <c r="P41" t="str">
        <v>Expense</v>
      </c>
      <c r="Q41" t="str">
        <v>UPI Lite</v>
      </c>
      <c r="R41" t="str">
        <v/>
      </c>
      <c r="T41" s="21" t="s">
        <v>1</v>
      </c>
      <c r="U41" s="21"/>
      <c r="V41" s="21"/>
      <c r="W41" s="25" t="s">
        <v>151</v>
      </c>
      <c r="X41" s="25"/>
      <c r="Y41" s="25"/>
    </row>
    <row r="42" spans="13:26" x14ac:dyDescent="0.3">
      <c r="M42" s="17">
        <v>45361</v>
      </c>
      <c r="N42" t="str">
        <v>Food</v>
      </c>
      <c r="O42">
        <v>194</v>
      </c>
      <c r="P42" t="str">
        <v>Expense</v>
      </c>
      <c r="Q42" t="str">
        <v>UPI Lite</v>
      </c>
      <c r="R42" t="str">
        <v/>
      </c>
      <c r="T42" s="22" t="str" cm="1">
        <f t="array" ref="T42:T55">IF(Pivots!D5:D18=0,"",Pivots!D5:D18)</f>
        <v>Entertainment</v>
      </c>
      <c r="U42" s="22"/>
      <c r="V42" s="22"/>
      <c r="W42" s="23">
        <f>IF(Pivots!N5=0,"",Pivots!N5)</f>
        <v>210</v>
      </c>
      <c r="X42" s="23"/>
      <c r="Y42" s="23"/>
    </row>
    <row r="43" spans="13:26" x14ac:dyDescent="0.3">
      <c r="M43" s="17">
        <v>45361</v>
      </c>
      <c r="N43" t="str">
        <v>Transfer</v>
      </c>
      <c r="O43">
        <v>1960</v>
      </c>
      <c r="P43" t="str">
        <v>Transfer</v>
      </c>
      <c r="Q43" t="str">
        <v>HDFC</v>
      </c>
      <c r="R43" t="str">
        <v/>
      </c>
      <c r="T43" s="22" t="str">
        <v>Food</v>
      </c>
      <c r="U43" s="22"/>
      <c r="V43" s="22"/>
      <c r="W43" s="23">
        <f>IF(Pivots!N6=0,"",Pivots!N6)</f>
        <v>206.66666666666666</v>
      </c>
      <c r="X43" s="23"/>
      <c r="Y43" s="23"/>
    </row>
    <row r="44" spans="13:26" x14ac:dyDescent="0.3">
      <c r="M44" s="17">
        <v>45362</v>
      </c>
      <c r="N44" t="str">
        <v>Food</v>
      </c>
      <c r="O44">
        <v>163</v>
      </c>
      <c r="P44" t="str">
        <v>Expense</v>
      </c>
      <c r="Q44" t="str">
        <v>UPI Lite</v>
      </c>
      <c r="R44" t="str">
        <v/>
      </c>
      <c r="T44" s="22" t="str">
        <v>Personal Care</v>
      </c>
      <c r="U44" s="22"/>
      <c r="V44" s="22"/>
      <c r="W44" s="23">
        <f>IF(Pivots!N7=0,"",Pivots!N7)</f>
        <v>107.5</v>
      </c>
      <c r="X44" s="23"/>
      <c r="Y44" s="23"/>
    </row>
    <row r="45" spans="13:26" x14ac:dyDescent="0.3">
      <c r="M45" s="17">
        <v>45363</v>
      </c>
      <c r="N45" t="str">
        <v>Food</v>
      </c>
      <c r="O45">
        <v>140</v>
      </c>
      <c r="P45" t="str">
        <v>Expense</v>
      </c>
      <c r="Q45" t="str">
        <v>UPI Lite</v>
      </c>
      <c r="R45" t="str">
        <v/>
      </c>
      <c r="T45" s="22" t="str">
        <v>Rent</v>
      </c>
      <c r="U45" s="22"/>
      <c r="V45" s="22"/>
      <c r="W45" s="23">
        <f>IF(Pivots!N8=0,"",Pivots!N8)</f>
        <v>3500</v>
      </c>
      <c r="X45" s="23"/>
      <c r="Y45" s="23"/>
    </row>
    <row r="46" spans="13:26" x14ac:dyDescent="0.3">
      <c r="M46" s="17">
        <v>45363</v>
      </c>
      <c r="N46" t="str">
        <v>Travelling</v>
      </c>
      <c r="O46">
        <v>1201</v>
      </c>
      <c r="P46" t="str">
        <v>Expense</v>
      </c>
      <c r="Q46" t="str">
        <v>SBI</v>
      </c>
      <c r="R46" t="str">
        <v/>
      </c>
      <c r="T46" s="22" t="str">
        <v>Travelling</v>
      </c>
      <c r="U46" s="22"/>
      <c r="V46" s="22"/>
      <c r="W46" s="23">
        <f>IF(Pivots!N9=0,"",Pivots!N9)</f>
        <v>1201</v>
      </c>
      <c r="X46" s="23"/>
      <c r="Y46" s="23"/>
    </row>
    <row r="47" spans="13:26" x14ac:dyDescent="0.3">
      <c r="M47" s="17">
        <v>45364</v>
      </c>
      <c r="N47" t="str">
        <v>Personal Care</v>
      </c>
      <c r="O47">
        <v>50</v>
      </c>
      <c r="P47" t="str">
        <v>Expense</v>
      </c>
      <c r="Q47" t="str">
        <v>UPI Lite</v>
      </c>
      <c r="R47" t="str">
        <v>Beard</v>
      </c>
      <c r="T47" s="22" t="str">
        <v>Grand Total</v>
      </c>
      <c r="U47" s="22"/>
      <c r="V47" s="22"/>
      <c r="W47" s="23">
        <f>IF(Pivots!N10=0,"",Pivots!N10)</f>
        <v>345.75</v>
      </c>
      <c r="X47" s="23"/>
      <c r="Y47" s="23"/>
    </row>
    <row r="48" spans="13:26" x14ac:dyDescent="0.3">
      <c r="M48" s="17">
        <v>45364</v>
      </c>
      <c r="N48" t="str">
        <v>Food</v>
      </c>
      <c r="O48">
        <v>134</v>
      </c>
      <c r="P48" t="str">
        <v>Expense</v>
      </c>
      <c r="Q48" t="str">
        <v>UPI Lite</v>
      </c>
      <c r="R48" t="str">
        <v/>
      </c>
      <c r="T48" s="22" t="str">
        <v/>
      </c>
      <c r="U48" s="22"/>
      <c r="V48" s="22"/>
      <c r="W48" s="23" t="str">
        <f>IF(Pivots!N11=0,"",Pivots!N11)</f>
        <v/>
      </c>
      <c r="X48" s="23"/>
      <c r="Y48" s="23"/>
    </row>
    <row r="49" spans="13:25" x14ac:dyDescent="0.3">
      <c r="M49" s="17">
        <v>45365</v>
      </c>
      <c r="N49" t="str">
        <v>Transfer</v>
      </c>
      <c r="O49">
        <v>82</v>
      </c>
      <c r="P49" t="str">
        <v>Transfer</v>
      </c>
      <c r="Q49" t="str">
        <v>UPI Lite</v>
      </c>
      <c r="R49" t="str">
        <v/>
      </c>
      <c r="T49" t="str">
        <v/>
      </c>
      <c r="W49" s="23" t="str">
        <f>IF(Pivots!N12=0,"",Pivots!N12)</f>
        <v/>
      </c>
      <c r="X49" s="23"/>
      <c r="Y49" s="23"/>
    </row>
    <row r="50" spans="13:25" x14ac:dyDescent="0.3">
      <c r="M50" s="17">
        <v>45365</v>
      </c>
      <c r="N50" t="str">
        <v>Food</v>
      </c>
      <c r="O50">
        <v>110</v>
      </c>
      <c r="P50" t="str">
        <v>Expense</v>
      </c>
      <c r="Q50" t="str">
        <v>UPI Lite</v>
      </c>
      <c r="R50" t="str">
        <v/>
      </c>
      <c r="T50" t="str">
        <v/>
      </c>
      <c r="W50" s="23" t="str">
        <f>IF(Pivots!N13=0,"",Pivots!N13)</f>
        <v/>
      </c>
      <c r="X50" s="23"/>
      <c r="Y50" s="23"/>
    </row>
    <row r="51" spans="13:25" x14ac:dyDescent="0.3">
      <c r="M51" s="17">
        <v>45366</v>
      </c>
      <c r="N51" t="str">
        <v>Food</v>
      </c>
      <c r="O51">
        <v>220</v>
      </c>
      <c r="P51" t="str">
        <v>Expense</v>
      </c>
      <c r="Q51" t="str">
        <v>UPI Lite</v>
      </c>
      <c r="R51" t="str">
        <v/>
      </c>
      <c r="T51" t="str">
        <v/>
      </c>
      <c r="W51" s="23" t="str">
        <f>IF(Pivots!N14=0,"",Pivots!N14)</f>
        <v/>
      </c>
      <c r="X51" s="23"/>
      <c r="Y51" s="23"/>
    </row>
    <row r="52" spans="13:25" x14ac:dyDescent="0.3">
      <c r="M52" s="17">
        <v>45367</v>
      </c>
      <c r="N52" t="str">
        <v>Food</v>
      </c>
      <c r="O52">
        <v>104</v>
      </c>
      <c r="P52" t="str">
        <v>Expense</v>
      </c>
      <c r="Q52" t="str">
        <v>UPI Lite</v>
      </c>
      <c r="R52" t="str">
        <v/>
      </c>
      <c r="T52" t="str">
        <v/>
      </c>
      <c r="W52" s="23" t="str">
        <f>IF(Pivots!N15=0,"",Pivots!N15)</f>
        <v/>
      </c>
      <c r="X52" s="23"/>
      <c r="Y52" s="23"/>
    </row>
    <row r="53" spans="13:25" x14ac:dyDescent="0.3">
      <c r="M53" s="17">
        <v>45368</v>
      </c>
      <c r="N53" t="str">
        <v>Food</v>
      </c>
      <c r="O53">
        <v>290</v>
      </c>
      <c r="P53" t="str">
        <v>Expense</v>
      </c>
      <c r="Q53" t="str">
        <v>UPI Lite</v>
      </c>
      <c r="R53" t="str">
        <v/>
      </c>
      <c r="T53" t="str">
        <v/>
      </c>
      <c r="W53" s="23" t="str">
        <f>IF(Pivots!N16=0,"",Pivots!N16)</f>
        <v/>
      </c>
      <c r="X53" s="23"/>
      <c r="Y53" s="23"/>
    </row>
    <row r="54" spans="13:25" x14ac:dyDescent="0.3">
      <c r="M54" s="17">
        <v>45369</v>
      </c>
      <c r="N54" t="str">
        <v>Food</v>
      </c>
      <c r="O54">
        <v>190</v>
      </c>
      <c r="P54" t="str">
        <v>Expense</v>
      </c>
      <c r="Q54" t="str">
        <v>UPI Lite</v>
      </c>
      <c r="R54" t="str">
        <v/>
      </c>
      <c r="T54" t="str">
        <v/>
      </c>
      <c r="W54" s="23" t="str">
        <f>IF(Pivots!N17=0,"",Pivots!N17)</f>
        <v/>
      </c>
      <c r="X54" s="23"/>
      <c r="Y54" s="23"/>
    </row>
    <row r="55" spans="13:25" x14ac:dyDescent="0.3">
      <c r="M55" s="17">
        <v>45370</v>
      </c>
      <c r="N55" t="str">
        <v>Food</v>
      </c>
      <c r="O55">
        <v>220</v>
      </c>
      <c r="P55" t="str">
        <v>Expense</v>
      </c>
      <c r="Q55" t="str">
        <v>UPI Lite</v>
      </c>
      <c r="R55" t="str">
        <v/>
      </c>
      <c r="T55" t="str">
        <v/>
      </c>
      <c r="W55" s="23" t="str">
        <f>IF(Pivots!N18=0,"",Pivots!N18)</f>
        <v/>
      </c>
      <c r="X55" s="23"/>
      <c r="Y55" s="23"/>
    </row>
    <row r="56" spans="13:25" x14ac:dyDescent="0.3">
      <c r="M56" s="17">
        <v>45370</v>
      </c>
      <c r="N56" t="str">
        <v>Cashbacks</v>
      </c>
      <c r="O56">
        <v>10</v>
      </c>
      <c r="P56" t="str">
        <v>Income</v>
      </c>
      <c r="Q56" t="str">
        <v>SBI</v>
      </c>
      <c r="R56" t="str">
        <v>Hide and seek cashback</v>
      </c>
      <c r="W56" s="23" t="str">
        <f>IF(Pivots!N19=0,"",Pivots!N19)</f>
        <v/>
      </c>
      <c r="X56" s="23"/>
      <c r="Y56" s="23"/>
    </row>
    <row r="57" spans="13:25" x14ac:dyDescent="0.3">
      <c r="M57" s="17">
        <v>45371</v>
      </c>
      <c r="N57" t="str">
        <v>Food</v>
      </c>
      <c r="O57">
        <v>160</v>
      </c>
      <c r="P57" t="str">
        <v>Expense</v>
      </c>
      <c r="Q57" t="str">
        <v>UPI Lite</v>
      </c>
      <c r="R57" t="str">
        <v/>
      </c>
      <c r="W57" s="23" t="str">
        <f>IF(Pivots!N20=0,"",Pivots!N20)</f>
        <v/>
      </c>
      <c r="X57" s="23"/>
      <c r="Y57" s="23"/>
    </row>
    <row r="58" spans="13:25" x14ac:dyDescent="0.3">
      <c r="M58" s="17">
        <v>45371</v>
      </c>
      <c r="N58" t="str">
        <v>Personal Care</v>
      </c>
      <c r="O58">
        <v>30</v>
      </c>
      <c r="P58" t="str">
        <v>Expense</v>
      </c>
      <c r="Q58" t="str">
        <v>UPI Lite</v>
      </c>
      <c r="R58" t="str">
        <v>Shoe Laces</v>
      </c>
      <c r="W58" s="23" t="str">
        <f>IF(Pivots!N21=0,"",Pivots!N21)</f>
        <v/>
      </c>
      <c r="X58" s="23"/>
      <c r="Y58" s="23"/>
    </row>
    <row r="59" spans="13:25" x14ac:dyDescent="0.3">
      <c r="M59" s="17">
        <v>45372</v>
      </c>
      <c r="N59" t="str">
        <v>Transfer</v>
      </c>
      <c r="O59">
        <v>1967</v>
      </c>
      <c r="P59" t="str">
        <v>Transfer</v>
      </c>
      <c r="Q59" t="str">
        <v>HDFC</v>
      </c>
      <c r="R59" t="str">
        <v/>
      </c>
      <c r="W59" s="23" t="str">
        <f>IF(Pivots!N22=0,"",Pivots!N22)</f>
        <v/>
      </c>
      <c r="X59" s="23"/>
      <c r="Y59" s="23"/>
    </row>
    <row r="60" spans="13:25" x14ac:dyDescent="0.3">
      <c r="M60" s="17">
        <v>45372</v>
      </c>
      <c r="N60" t="str">
        <v>Food</v>
      </c>
      <c r="O60">
        <v>524</v>
      </c>
      <c r="P60" t="str">
        <v>Expense</v>
      </c>
      <c r="Q60" t="str">
        <v>UPI Lite</v>
      </c>
      <c r="R60" t="str">
        <v>Peanut butter chocolate pintola</v>
      </c>
      <c r="W60" s="23" t="str">
        <f>IF(Pivots!N23=0,"",Pivots!N23)</f>
        <v/>
      </c>
      <c r="X60" s="23"/>
      <c r="Y60" s="23"/>
    </row>
    <row r="61" spans="13:25" x14ac:dyDescent="0.3">
      <c r="W61" s="23" t="str">
        <f>IF(Pivots!N24=0,"",Pivots!N24)</f>
        <v/>
      </c>
      <c r="X61" s="23"/>
      <c r="Y61" s="23"/>
    </row>
    <row r="62" spans="13:25" x14ac:dyDescent="0.3">
      <c r="W62" s="23" t="str">
        <f>IF(Pivots!N25=0,"",Pivots!N25)</f>
        <v/>
      </c>
      <c r="X62" s="23"/>
      <c r="Y62" s="23"/>
    </row>
    <row r="63" spans="13:25" x14ac:dyDescent="0.3">
      <c r="W63" s="23" t="str">
        <f>IF(Pivots!N26=0,"",Pivots!N26)</f>
        <v/>
      </c>
      <c r="X63" s="23"/>
      <c r="Y63" s="23"/>
    </row>
    <row r="64" spans="13:25" x14ac:dyDescent="0.3">
      <c r="W64" s="7"/>
      <c r="X64" s="7"/>
    </row>
    <row r="65" spans="23:24" x14ac:dyDescent="0.3">
      <c r="W65" s="7"/>
      <c r="X65" s="7"/>
    </row>
    <row r="66" spans="23:24" x14ac:dyDescent="0.3">
      <c r="W66" s="7"/>
      <c r="X66" s="7"/>
    </row>
    <row r="67" spans="23:24" x14ac:dyDescent="0.3">
      <c r="W67" s="7"/>
      <c r="X67" s="7"/>
    </row>
    <row r="68" spans="23:24" x14ac:dyDescent="0.3">
      <c r="W68" s="7"/>
      <c r="X68" s="7"/>
    </row>
    <row r="69" spans="23:24" x14ac:dyDescent="0.3">
      <c r="W69" s="7"/>
      <c r="X69" s="7"/>
    </row>
    <row r="70" spans="23:24" x14ac:dyDescent="0.3">
      <c r="W70" s="7"/>
      <c r="X70" s="7"/>
    </row>
    <row r="71" spans="23:24" x14ac:dyDescent="0.3">
      <c r="W71" s="7"/>
      <c r="X71" s="7"/>
    </row>
  </sheetData>
  <mergeCells count="35">
    <mergeCell ref="T40:V40"/>
    <mergeCell ref="T22:U22"/>
    <mergeCell ref="P22:Q22"/>
    <mergeCell ref="Y35:Z35"/>
    <mergeCell ref="Y36:Z36"/>
    <mergeCell ref="Y37:Z37"/>
    <mergeCell ref="T31:V32"/>
    <mergeCell ref="T33:V33"/>
    <mergeCell ref="T35:X35"/>
    <mergeCell ref="T36:X36"/>
    <mergeCell ref="T37:X37"/>
    <mergeCell ref="W62:Y62"/>
    <mergeCell ref="W63:Y63"/>
    <mergeCell ref="W40:Y40"/>
    <mergeCell ref="W41:Y41"/>
    <mergeCell ref="W42:Y42"/>
    <mergeCell ref="W43:Y43"/>
    <mergeCell ref="W44:Y44"/>
    <mergeCell ref="W45:Y45"/>
    <mergeCell ref="W46:Y46"/>
    <mergeCell ref="W47:Y47"/>
    <mergeCell ref="W48:Y48"/>
    <mergeCell ref="W49:Y49"/>
    <mergeCell ref="W50:Y50"/>
    <mergeCell ref="W57:Y57"/>
    <mergeCell ref="W58:Y58"/>
    <mergeCell ref="W59:Y59"/>
    <mergeCell ref="W60:Y60"/>
    <mergeCell ref="W61:Y61"/>
    <mergeCell ref="W56:Y56"/>
    <mergeCell ref="W51:Y51"/>
    <mergeCell ref="W52:Y52"/>
    <mergeCell ref="W53:Y53"/>
    <mergeCell ref="W54:Y54"/>
    <mergeCell ref="W55:Y55"/>
  </mergeCells>
  <phoneticPr fontId="3" type="noConversion"/>
  <conditionalFormatting sqref="T24:Z29">
    <cfRule type="expression" dxfId="15" priority="17" stopIfTrue="1">
      <formula>MONTH(T24)&lt;&gt;MONTH(DATEVALUE("1 "&amp;$T$22))</formula>
    </cfRule>
  </conditionalFormatting>
  <conditionalFormatting sqref="T42:V55">
    <cfRule type="expression" dxfId="14" priority="1">
      <formula>$T42&lt;&gt;""</formula>
    </cfRule>
  </conditionalFormatting>
  <pageMargins left="0.7" right="0.7" top="0.75" bottom="0.75" header="0.3" footer="0.3"/>
  <drawing r:id="rId1"/>
  <legacyDrawing r:id="rId2"/>
  <controls>
    <mc:AlternateContent xmlns:mc="http://schemas.openxmlformats.org/markup-compatibility/2006">
      <mc:Choice Requires="x14">
        <control shapeId="1025" r:id="rId3" name="TextBox1">
          <controlPr defaultSize="0" autoLine="0" linkedCell="O22" r:id="rId4">
            <anchor moveWithCells="1">
              <from>
                <xdr:col>14</xdr:col>
                <xdr:colOff>0</xdr:colOff>
                <xdr:row>21</xdr:row>
                <xdr:rowOff>0</xdr:rowOff>
              </from>
              <to>
                <xdr:col>15</xdr:col>
                <xdr:colOff>99060</xdr:colOff>
                <xdr:row>21</xdr:row>
                <xdr:rowOff>236220</xdr:rowOff>
              </to>
            </anchor>
          </controlPr>
        </control>
      </mc:Choice>
      <mc:Fallback>
        <control shapeId="1025" r:id="rId3" name="TextBox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8" id="{161C97E1-94BF-4B92-82B9-8757A528C209}">
            <xm:f>Pivots!AA2&lt;$Z$31</xm:f>
            <x14:dxf>
              <font>
                <color theme="9" tint="-0.24994659260841701"/>
              </font>
              <fill>
                <patternFill>
                  <bgColor theme="9" tint="0.59996337778862885"/>
                </patternFill>
              </fill>
            </x14:dxf>
          </x14:cfRule>
          <x14:cfRule type="expression" priority="19" id="{D9B9090F-9BA1-4627-821E-412816655D08}">
            <xm:f>Pivots!AA2&lt;$Z$32</xm:f>
            <x14:dxf>
              <font>
                <color theme="7" tint="-0.24994659260841701"/>
              </font>
              <fill>
                <patternFill>
                  <bgColor theme="7" tint="0.79998168889431442"/>
                </patternFill>
              </fill>
            </x14:dxf>
          </x14:cfRule>
          <x14:cfRule type="expression" priority="20" id="{2AADF27C-DE27-4777-9A00-82456AAFD16D}">
            <xm:f>Pivots!AA2&lt;$Z$33</xm:f>
            <x14:dxf>
              <font>
                <color theme="5" tint="-0.24994659260841701"/>
              </font>
              <fill>
                <patternFill>
                  <bgColor theme="5" tint="0.79998168889431442"/>
                </patternFill>
              </fill>
            </x14:dxf>
          </x14:cfRule>
          <x14:cfRule type="expression" priority="21" id="{EF18F1C2-C65C-4C6E-9DB8-EF03B2B0BA8E}">
            <xm:f>Pivots!AA2&gt;$Z$33</xm:f>
            <x14:dxf>
              <font>
                <color rgb="FFFF2F2F"/>
              </font>
              <fill>
                <patternFill patternType="solid">
                  <bgColor rgb="FFFFC9C9"/>
                </patternFill>
              </fill>
            </x14:dxf>
          </x14:cfRule>
          <xm:sqref>T24:Z29</xm:sqref>
        </x14:conditionalFormatting>
      </x14:conditionalFormattings>
    </ex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F320A-E9E1-4FE8-9A65-EAE0098BE191}">
  <sheetPr codeName="Sheet2"/>
  <dimension ref="A1:N136"/>
  <sheetViews>
    <sheetView showGridLines="0" topLeftCell="B1" zoomScale="131" workbookViewId="0">
      <selection activeCell="A136" sqref="A1:N136"/>
    </sheetView>
  </sheetViews>
  <sheetFormatPr defaultRowHeight="14.4" x14ac:dyDescent="0.3"/>
  <cols>
    <col min="1" max="1" width="4.88671875" bestFit="1" customWidth="1"/>
    <col min="2" max="2" width="9.33203125" bestFit="1" customWidth="1"/>
    <col min="3" max="3" width="10.6640625" bestFit="1" customWidth="1"/>
    <col min="4" max="4" width="16.6640625" bestFit="1" customWidth="1"/>
    <col min="5" max="5" width="7.88671875" bestFit="1" customWidth="1"/>
    <col min="6" max="6" width="7.77734375" bestFit="1" customWidth="1"/>
    <col min="7" max="7" width="7.33203125" bestFit="1" customWidth="1"/>
    <col min="8" max="8" width="8" bestFit="1" customWidth="1"/>
    <col min="9" max="9" width="27.88671875" bestFit="1" customWidth="1"/>
    <col min="10" max="42" width="11.33203125" customWidth="1"/>
  </cols>
  <sheetData>
    <row r="1" spans="1:14" x14ac:dyDescent="0.3">
      <c r="A1" s="10" t="s">
        <v>0</v>
      </c>
      <c r="B1" s="5" t="s">
        <v>25</v>
      </c>
      <c r="C1" s="5" t="s">
        <v>26</v>
      </c>
      <c r="D1" s="5" t="s">
        <v>1</v>
      </c>
      <c r="E1" s="5" t="s">
        <v>2</v>
      </c>
      <c r="F1" s="5" t="s">
        <v>27</v>
      </c>
      <c r="G1" s="5" t="s">
        <v>28</v>
      </c>
      <c r="H1" s="5" t="s">
        <v>7</v>
      </c>
      <c r="I1" s="5" t="s">
        <v>3</v>
      </c>
      <c r="J1" s="6" t="s">
        <v>36</v>
      </c>
      <c r="K1" s="6" t="s">
        <v>8</v>
      </c>
      <c r="L1" s="6" t="s">
        <v>12</v>
      </c>
      <c r="M1" s="6" t="s">
        <v>6</v>
      </c>
      <c r="N1" s="6" t="s">
        <v>29</v>
      </c>
    </row>
    <row r="2" spans="1:14" x14ac:dyDescent="0.3">
      <c r="A2" s="4">
        <v>45283</v>
      </c>
      <c r="B2" s="3" t="s">
        <v>37</v>
      </c>
      <c r="C2" s="3" t="s">
        <v>22</v>
      </c>
      <c r="D2" t="s">
        <v>30</v>
      </c>
      <c r="E2">
        <v>25677</v>
      </c>
      <c r="F2" t="s">
        <v>11</v>
      </c>
      <c r="G2" t="s">
        <v>8</v>
      </c>
      <c r="H2" t="s">
        <v>31</v>
      </c>
      <c r="I2" t="s">
        <v>31</v>
      </c>
      <c r="J2" s="7">
        <v>31678</v>
      </c>
      <c r="K2" s="7">
        <v>25348</v>
      </c>
      <c r="L2" s="7">
        <v>6313</v>
      </c>
      <c r="M2" s="7">
        <v>17</v>
      </c>
      <c r="N2" s="7">
        <v>0</v>
      </c>
    </row>
    <row r="3" spans="1:14" x14ac:dyDescent="0.3">
      <c r="A3" s="4">
        <v>45284</v>
      </c>
      <c r="B3" s="3" t="s">
        <v>37</v>
      </c>
      <c r="C3" s="3" t="s">
        <v>21</v>
      </c>
      <c r="D3" t="s">
        <v>16</v>
      </c>
      <c r="E3">
        <v>199</v>
      </c>
      <c r="F3" t="s">
        <v>5</v>
      </c>
      <c r="G3" t="s">
        <v>12</v>
      </c>
      <c r="H3" t="s">
        <v>31</v>
      </c>
      <c r="I3" t="s">
        <v>31</v>
      </c>
      <c r="J3" s="7">
        <v>31479</v>
      </c>
      <c r="K3" s="7">
        <v>25348</v>
      </c>
      <c r="L3" s="7">
        <v>6114</v>
      </c>
      <c r="M3" s="7">
        <v>17</v>
      </c>
      <c r="N3" s="7">
        <v>0</v>
      </c>
    </row>
    <row r="4" spans="1:14" x14ac:dyDescent="0.3">
      <c r="A4" s="4">
        <v>45284</v>
      </c>
      <c r="B4" s="3" t="s">
        <v>37</v>
      </c>
      <c r="C4" s="3" t="s">
        <v>21</v>
      </c>
      <c r="D4" t="s">
        <v>4</v>
      </c>
      <c r="E4">
        <v>204</v>
      </c>
      <c r="F4" t="s">
        <v>5</v>
      </c>
      <c r="G4" t="s">
        <v>8</v>
      </c>
      <c r="H4" t="s">
        <v>31</v>
      </c>
      <c r="I4" t="s">
        <v>31</v>
      </c>
      <c r="J4" s="7">
        <v>31275</v>
      </c>
      <c r="K4" s="7">
        <v>25144</v>
      </c>
      <c r="L4" s="7">
        <v>6114</v>
      </c>
      <c r="M4" s="7">
        <v>17</v>
      </c>
      <c r="N4" s="7">
        <v>0</v>
      </c>
    </row>
    <row r="5" spans="1:14" x14ac:dyDescent="0.3">
      <c r="A5" s="4">
        <v>45285</v>
      </c>
      <c r="B5" s="3" t="s">
        <v>37</v>
      </c>
      <c r="C5" s="3" t="s">
        <v>20</v>
      </c>
      <c r="D5" t="s">
        <v>4</v>
      </c>
      <c r="E5">
        <v>219</v>
      </c>
      <c r="F5" t="s">
        <v>5</v>
      </c>
      <c r="G5" t="s">
        <v>8</v>
      </c>
      <c r="H5" t="s">
        <v>31</v>
      </c>
      <c r="I5" t="s">
        <v>31</v>
      </c>
      <c r="J5" s="7">
        <v>31056</v>
      </c>
      <c r="K5" s="7">
        <v>24925</v>
      </c>
      <c r="L5" s="7">
        <v>6114</v>
      </c>
      <c r="M5" s="7">
        <v>17</v>
      </c>
      <c r="N5" s="7">
        <v>0</v>
      </c>
    </row>
    <row r="6" spans="1:14" x14ac:dyDescent="0.3">
      <c r="A6" s="4">
        <v>45285</v>
      </c>
      <c r="B6" s="3" t="s">
        <v>37</v>
      </c>
      <c r="C6" s="3" t="s">
        <v>20</v>
      </c>
      <c r="D6" t="s">
        <v>13</v>
      </c>
      <c r="E6">
        <v>1028</v>
      </c>
      <c r="F6" t="s">
        <v>5</v>
      </c>
      <c r="G6" t="s">
        <v>8</v>
      </c>
      <c r="H6" t="s">
        <v>31</v>
      </c>
      <c r="I6" t="s">
        <v>31</v>
      </c>
      <c r="J6" s="7">
        <v>30028</v>
      </c>
      <c r="K6" s="7">
        <v>23897</v>
      </c>
      <c r="L6" s="7">
        <v>6114</v>
      </c>
      <c r="M6" s="7">
        <v>17</v>
      </c>
      <c r="N6" s="7">
        <v>0</v>
      </c>
    </row>
    <row r="7" spans="1:14" x14ac:dyDescent="0.3">
      <c r="A7" s="4">
        <v>45286</v>
      </c>
      <c r="B7" s="3" t="s">
        <v>37</v>
      </c>
      <c r="C7" s="3" t="s">
        <v>19</v>
      </c>
      <c r="D7" t="s">
        <v>4</v>
      </c>
      <c r="E7">
        <v>199</v>
      </c>
      <c r="F7" t="s">
        <v>5</v>
      </c>
      <c r="G7" t="s">
        <v>6</v>
      </c>
      <c r="H7" t="s">
        <v>31</v>
      </c>
      <c r="I7" t="s">
        <v>31</v>
      </c>
      <c r="J7" s="7">
        <v>29829</v>
      </c>
      <c r="K7" s="7">
        <v>23897</v>
      </c>
      <c r="L7" s="7">
        <v>6114</v>
      </c>
      <c r="M7" s="7">
        <v>-182</v>
      </c>
      <c r="N7" s="7">
        <v>0</v>
      </c>
    </row>
    <row r="8" spans="1:14" x14ac:dyDescent="0.3">
      <c r="A8" s="4">
        <v>45286</v>
      </c>
      <c r="B8" s="3" t="s">
        <v>37</v>
      </c>
      <c r="C8" s="3" t="s">
        <v>19</v>
      </c>
      <c r="D8" t="s">
        <v>7</v>
      </c>
      <c r="E8">
        <v>1992</v>
      </c>
      <c r="F8" t="s">
        <v>7</v>
      </c>
      <c r="G8" t="s">
        <v>8</v>
      </c>
      <c r="H8" t="s">
        <v>6</v>
      </c>
      <c r="I8" t="s">
        <v>31</v>
      </c>
      <c r="J8" s="7">
        <v>29829</v>
      </c>
      <c r="K8" s="7">
        <v>21905</v>
      </c>
      <c r="L8" s="7">
        <v>6114</v>
      </c>
      <c r="M8" s="7">
        <v>1810</v>
      </c>
      <c r="N8" s="7">
        <v>0</v>
      </c>
    </row>
    <row r="9" spans="1:14" x14ac:dyDescent="0.3">
      <c r="A9" s="4">
        <v>45287</v>
      </c>
      <c r="B9" s="3" t="s">
        <v>37</v>
      </c>
      <c r="C9" s="3" t="s">
        <v>18</v>
      </c>
      <c r="D9" t="s">
        <v>4</v>
      </c>
      <c r="E9">
        <v>209</v>
      </c>
      <c r="F9" t="s">
        <v>5</v>
      </c>
      <c r="G9" t="s">
        <v>6</v>
      </c>
      <c r="H9" t="s">
        <v>31</v>
      </c>
      <c r="I9" t="s">
        <v>31</v>
      </c>
      <c r="J9" s="7">
        <v>29620</v>
      </c>
      <c r="K9" s="7">
        <v>21905</v>
      </c>
      <c r="L9" s="7">
        <v>6114</v>
      </c>
      <c r="M9" s="7">
        <v>1601</v>
      </c>
      <c r="N9" s="7">
        <v>0</v>
      </c>
    </row>
    <row r="10" spans="1:14" x14ac:dyDescent="0.3">
      <c r="A10" s="4">
        <v>45288</v>
      </c>
      <c r="B10" s="3" t="s">
        <v>37</v>
      </c>
      <c r="C10" s="3" t="s">
        <v>17</v>
      </c>
      <c r="D10" t="s">
        <v>4</v>
      </c>
      <c r="E10">
        <v>199</v>
      </c>
      <c r="F10" t="s">
        <v>5</v>
      </c>
      <c r="G10" t="s">
        <v>6</v>
      </c>
      <c r="H10" t="s">
        <v>31</v>
      </c>
      <c r="I10" t="s">
        <v>31</v>
      </c>
      <c r="J10" s="7">
        <v>29421</v>
      </c>
      <c r="K10" s="7">
        <v>21905</v>
      </c>
      <c r="L10" s="7">
        <v>6114</v>
      </c>
      <c r="M10" s="7">
        <v>1402</v>
      </c>
      <c r="N10" s="7">
        <v>0</v>
      </c>
    </row>
    <row r="11" spans="1:14" x14ac:dyDescent="0.3">
      <c r="A11" s="4">
        <v>45289</v>
      </c>
      <c r="B11" s="3" t="s">
        <v>37</v>
      </c>
      <c r="C11" s="3" t="s">
        <v>23</v>
      </c>
      <c r="D11" t="s">
        <v>4</v>
      </c>
      <c r="E11">
        <v>249</v>
      </c>
      <c r="F11" t="s">
        <v>5</v>
      </c>
      <c r="G11" t="s">
        <v>6</v>
      </c>
      <c r="H11" t="s">
        <v>31</v>
      </c>
      <c r="I11" t="s">
        <v>31</v>
      </c>
      <c r="J11" s="7">
        <v>29172</v>
      </c>
      <c r="K11" s="7">
        <v>21905</v>
      </c>
      <c r="L11" s="7">
        <v>6114</v>
      </c>
      <c r="M11" s="7">
        <v>1153</v>
      </c>
      <c r="N11" s="7">
        <v>0</v>
      </c>
    </row>
    <row r="12" spans="1:14" x14ac:dyDescent="0.3">
      <c r="A12" s="4">
        <v>45290</v>
      </c>
      <c r="B12" s="3" t="s">
        <v>37</v>
      </c>
      <c r="C12" s="3" t="s">
        <v>22</v>
      </c>
      <c r="D12" t="s">
        <v>4</v>
      </c>
      <c r="E12">
        <v>79</v>
      </c>
      <c r="F12" t="s">
        <v>5</v>
      </c>
      <c r="G12" t="s">
        <v>6</v>
      </c>
      <c r="H12" t="s">
        <v>31</v>
      </c>
      <c r="I12" t="s">
        <v>31</v>
      </c>
      <c r="J12" s="7">
        <v>29093</v>
      </c>
      <c r="K12" s="7">
        <v>21905</v>
      </c>
      <c r="L12" s="7">
        <v>6114</v>
      </c>
      <c r="M12" s="7">
        <v>1074</v>
      </c>
      <c r="N12" s="7">
        <v>0</v>
      </c>
    </row>
    <row r="13" spans="1:14" x14ac:dyDescent="0.3">
      <c r="A13" s="4">
        <v>45290</v>
      </c>
      <c r="B13" s="3" t="s">
        <v>37</v>
      </c>
      <c r="C13" s="3" t="s">
        <v>22</v>
      </c>
      <c r="D13" t="s">
        <v>32</v>
      </c>
      <c r="E13">
        <v>2500</v>
      </c>
      <c r="F13" t="s">
        <v>5</v>
      </c>
      <c r="G13" t="s">
        <v>8</v>
      </c>
      <c r="H13" t="s">
        <v>31</v>
      </c>
      <c r="I13" t="s">
        <v>31</v>
      </c>
      <c r="J13" s="7">
        <v>26593</v>
      </c>
      <c r="K13" s="7">
        <v>19405</v>
      </c>
      <c r="L13" s="7">
        <v>6114</v>
      </c>
      <c r="M13" s="7">
        <v>1074</v>
      </c>
      <c r="N13" s="7">
        <v>0</v>
      </c>
    </row>
    <row r="14" spans="1:14" x14ac:dyDescent="0.3">
      <c r="A14" s="4">
        <v>45291</v>
      </c>
      <c r="B14" s="3" t="s">
        <v>37</v>
      </c>
      <c r="C14" s="3" t="s">
        <v>21</v>
      </c>
      <c r="D14" t="s">
        <v>4</v>
      </c>
      <c r="E14">
        <v>279</v>
      </c>
      <c r="F14" t="s">
        <v>5</v>
      </c>
      <c r="G14" t="s">
        <v>6</v>
      </c>
      <c r="H14" t="s">
        <v>31</v>
      </c>
      <c r="I14" t="s">
        <v>31</v>
      </c>
      <c r="J14" s="7">
        <v>26314</v>
      </c>
      <c r="K14" s="7">
        <v>19405</v>
      </c>
      <c r="L14" s="7">
        <v>6114</v>
      </c>
      <c r="M14" s="7">
        <v>795</v>
      </c>
      <c r="N14" s="7">
        <v>0</v>
      </c>
    </row>
    <row r="15" spans="1:14" x14ac:dyDescent="0.3">
      <c r="A15" s="4">
        <v>45292</v>
      </c>
      <c r="B15" s="3" t="s">
        <v>38</v>
      </c>
      <c r="C15" s="3" t="s">
        <v>20</v>
      </c>
      <c r="D15" t="s">
        <v>7</v>
      </c>
      <c r="E15">
        <v>1962</v>
      </c>
      <c r="F15" t="s">
        <v>7</v>
      </c>
      <c r="G15" t="s">
        <v>8</v>
      </c>
      <c r="H15" t="s">
        <v>6</v>
      </c>
      <c r="I15" t="s">
        <v>31</v>
      </c>
      <c r="J15" s="7">
        <v>26314</v>
      </c>
      <c r="K15" s="7">
        <v>17443</v>
      </c>
      <c r="L15" s="7">
        <v>6114</v>
      </c>
      <c r="M15" s="7">
        <v>2757</v>
      </c>
      <c r="N15" s="7">
        <v>0</v>
      </c>
    </row>
    <row r="16" spans="1:14" x14ac:dyDescent="0.3">
      <c r="A16" s="4">
        <v>45292</v>
      </c>
      <c r="B16" s="3" t="s">
        <v>38</v>
      </c>
      <c r="C16" s="3" t="s">
        <v>20</v>
      </c>
      <c r="D16" t="s">
        <v>4</v>
      </c>
      <c r="E16">
        <v>569</v>
      </c>
      <c r="F16" t="s">
        <v>5</v>
      </c>
      <c r="G16" t="s">
        <v>6</v>
      </c>
      <c r="H16" t="s">
        <v>31</v>
      </c>
      <c r="I16" t="s">
        <v>31</v>
      </c>
      <c r="J16" s="7">
        <v>25745</v>
      </c>
      <c r="K16" s="7">
        <v>17443</v>
      </c>
      <c r="L16" s="7">
        <v>6114</v>
      </c>
      <c r="M16" s="7">
        <v>2188</v>
      </c>
      <c r="N16" s="7">
        <v>0</v>
      </c>
    </row>
    <row r="17" spans="1:14" x14ac:dyDescent="0.3">
      <c r="A17" s="4">
        <v>45293</v>
      </c>
      <c r="B17" s="3" t="s">
        <v>38</v>
      </c>
      <c r="C17" s="3" t="s">
        <v>19</v>
      </c>
      <c r="D17" t="s">
        <v>4</v>
      </c>
      <c r="E17">
        <v>239</v>
      </c>
      <c r="F17" t="s">
        <v>5</v>
      </c>
      <c r="G17" t="s">
        <v>6</v>
      </c>
      <c r="H17" t="s">
        <v>31</v>
      </c>
      <c r="I17" t="s">
        <v>31</v>
      </c>
      <c r="J17" s="7">
        <v>25506</v>
      </c>
      <c r="K17" s="7">
        <v>17443</v>
      </c>
      <c r="L17" s="7">
        <v>6114</v>
      </c>
      <c r="M17" s="7">
        <v>1949</v>
      </c>
      <c r="N17" s="7">
        <v>0</v>
      </c>
    </row>
    <row r="18" spans="1:14" x14ac:dyDescent="0.3">
      <c r="A18" s="4">
        <v>45294</v>
      </c>
      <c r="B18" s="3" t="s">
        <v>38</v>
      </c>
      <c r="C18" s="3" t="s">
        <v>18</v>
      </c>
      <c r="D18" t="s">
        <v>4</v>
      </c>
      <c r="E18">
        <v>219</v>
      </c>
      <c r="F18" t="s">
        <v>5</v>
      </c>
      <c r="G18" t="s">
        <v>6</v>
      </c>
      <c r="H18" t="s">
        <v>31</v>
      </c>
      <c r="I18" t="s">
        <v>31</v>
      </c>
      <c r="J18" s="7">
        <v>25287</v>
      </c>
      <c r="K18" s="7">
        <v>17443</v>
      </c>
      <c r="L18" s="7">
        <v>6114</v>
      </c>
      <c r="M18" s="7">
        <v>1730</v>
      </c>
      <c r="N18" s="7">
        <v>0</v>
      </c>
    </row>
    <row r="19" spans="1:14" x14ac:dyDescent="0.3">
      <c r="A19" s="4">
        <v>45295</v>
      </c>
      <c r="B19" s="3" t="s">
        <v>38</v>
      </c>
      <c r="C19" s="3" t="s">
        <v>17</v>
      </c>
      <c r="D19" t="s">
        <v>4</v>
      </c>
      <c r="E19">
        <v>294</v>
      </c>
      <c r="F19" t="s">
        <v>5</v>
      </c>
      <c r="G19" t="s">
        <v>6</v>
      </c>
      <c r="H19" t="s">
        <v>31</v>
      </c>
      <c r="I19" t="s">
        <v>31</v>
      </c>
      <c r="J19" s="7">
        <v>24993</v>
      </c>
      <c r="K19" s="7">
        <v>17443</v>
      </c>
      <c r="L19" s="7">
        <v>6114</v>
      </c>
      <c r="M19" s="7">
        <v>1436</v>
      </c>
      <c r="N19" s="7">
        <v>0</v>
      </c>
    </row>
    <row r="20" spans="1:14" x14ac:dyDescent="0.3">
      <c r="A20" s="4">
        <v>45296</v>
      </c>
      <c r="B20" s="3" t="s">
        <v>38</v>
      </c>
      <c r="C20" s="3" t="s">
        <v>23</v>
      </c>
      <c r="D20" t="s">
        <v>4</v>
      </c>
      <c r="E20">
        <v>229</v>
      </c>
      <c r="F20" t="s">
        <v>5</v>
      </c>
      <c r="G20" t="s">
        <v>6</v>
      </c>
      <c r="H20" t="s">
        <v>31</v>
      </c>
      <c r="I20" t="s">
        <v>31</v>
      </c>
      <c r="J20" s="7">
        <v>24764</v>
      </c>
      <c r="K20" s="7">
        <v>17443</v>
      </c>
      <c r="L20" s="7">
        <v>6114</v>
      </c>
      <c r="M20" s="7">
        <v>1207</v>
      </c>
      <c r="N20" s="7">
        <v>0</v>
      </c>
    </row>
    <row r="21" spans="1:14" x14ac:dyDescent="0.3">
      <c r="A21" s="4">
        <v>45297</v>
      </c>
      <c r="B21" s="3" t="s">
        <v>38</v>
      </c>
      <c r="C21" s="3" t="s">
        <v>22</v>
      </c>
      <c r="D21" t="s">
        <v>4</v>
      </c>
      <c r="E21">
        <v>446</v>
      </c>
      <c r="F21" t="s">
        <v>5</v>
      </c>
      <c r="G21" t="s">
        <v>6</v>
      </c>
      <c r="H21" t="s">
        <v>31</v>
      </c>
      <c r="I21" t="s">
        <v>31</v>
      </c>
      <c r="J21" s="7">
        <v>24318</v>
      </c>
      <c r="K21" s="7">
        <v>17443</v>
      </c>
      <c r="L21" s="7">
        <v>6114</v>
      </c>
      <c r="M21" s="7">
        <v>761</v>
      </c>
      <c r="N21" s="7">
        <v>0</v>
      </c>
    </row>
    <row r="22" spans="1:14" x14ac:dyDescent="0.3">
      <c r="A22" s="4">
        <v>45297</v>
      </c>
      <c r="B22" s="3" t="s">
        <v>38</v>
      </c>
      <c r="C22" s="3" t="s">
        <v>22</v>
      </c>
      <c r="D22" t="s">
        <v>13</v>
      </c>
      <c r="E22">
        <v>700</v>
      </c>
      <c r="F22" t="s">
        <v>5</v>
      </c>
      <c r="G22" t="s">
        <v>8</v>
      </c>
      <c r="H22" t="s">
        <v>31</v>
      </c>
      <c r="I22" t="s">
        <v>31</v>
      </c>
      <c r="J22" s="7">
        <v>23618</v>
      </c>
      <c r="K22" s="7">
        <v>16743</v>
      </c>
      <c r="L22" s="7">
        <v>6114</v>
      </c>
      <c r="M22" s="7">
        <v>761</v>
      </c>
      <c r="N22" s="7">
        <v>0</v>
      </c>
    </row>
    <row r="23" spans="1:14" x14ac:dyDescent="0.3">
      <c r="A23" s="4">
        <v>45298</v>
      </c>
      <c r="B23" s="3" t="s">
        <v>38</v>
      </c>
      <c r="C23" s="3" t="s">
        <v>21</v>
      </c>
      <c r="D23" t="s">
        <v>4</v>
      </c>
      <c r="E23">
        <v>478</v>
      </c>
      <c r="F23" t="s">
        <v>5</v>
      </c>
      <c r="G23" t="s">
        <v>6</v>
      </c>
      <c r="H23" t="s">
        <v>31</v>
      </c>
      <c r="I23" t="s">
        <v>31</v>
      </c>
      <c r="J23" s="7">
        <v>23140</v>
      </c>
      <c r="K23" s="7">
        <v>16743</v>
      </c>
      <c r="L23" s="7">
        <v>6114</v>
      </c>
      <c r="M23" s="7">
        <v>283</v>
      </c>
      <c r="N23" s="7">
        <v>0</v>
      </c>
    </row>
    <row r="24" spans="1:14" x14ac:dyDescent="0.3">
      <c r="A24" s="4">
        <v>45299</v>
      </c>
      <c r="B24" s="3" t="s">
        <v>38</v>
      </c>
      <c r="C24" s="3" t="s">
        <v>20</v>
      </c>
      <c r="D24" t="s">
        <v>4</v>
      </c>
      <c r="E24">
        <v>145</v>
      </c>
      <c r="F24" t="s">
        <v>5</v>
      </c>
      <c r="G24" t="s">
        <v>6</v>
      </c>
      <c r="H24" t="s">
        <v>31</v>
      </c>
      <c r="I24" t="s">
        <v>31</v>
      </c>
      <c r="J24" s="7">
        <v>22995</v>
      </c>
      <c r="K24" s="7">
        <v>16743</v>
      </c>
      <c r="L24" s="7">
        <v>6114</v>
      </c>
      <c r="M24" s="7">
        <v>138</v>
      </c>
      <c r="N24" s="7">
        <v>0</v>
      </c>
    </row>
    <row r="25" spans="1:14" x14ac:dyDescent="0.3">
      <c r="A25" s="4">
        <v>45300</v>
      </c>
      <c r="B25" s="3" t="s">
        <v>38</v>
      </c>
      <c r="C25" s="3" t="s">
        <v>19</v>
      </c>
      <c r="D25" t="s">
        <v>14</v>
      </c>
      <c r="E25">
        <v>3500</v>
      </c>
      <c r="F25" t="s">
        <v>5</v>
      </c>
      <c r="G25" t="s">
        <v>8</v>
      </c>
      <c r="H25" t="s">
        <v>31</v>
      </c>
      <c r="I25" t="s">
        <v>31</v>
      </c>
      <c r="J25" s="7">
        <v>19495</v>
      </c>
      <c r="K25" s="7">
        <v>13243</v>
      </c>
      <c r="L25" s="7">
        <v>6114</v>
      </c>
      <c r="M25" s="7">
        <v>138</v>
      </c>
      <c r="N25" s="7">
        <v>0</v>
      </c>
    </row>
    <row r="26" spans="1:14" x14ac:dyDescent="0.3">
      <c r="A26" s="4">
        <v>45300</v>
      </c>
      <c r="B26" s="3" t="s">
        <v>38</v>
      </c>
      <c r="C26" s="3" t="s">
        <v>19</v>
      </c>
      <c r="D26" t="s">
        <v>4</v>
      </c>
      <c r="E26">
        <v>204</v>
      </c>
      <c r="F26" t="s">
        <v>5</v>
      </c>
      <c r="G26" t="s">
        <v>6</v>
      </c>
      <c r="H26" t="s">
        <v>31</v>
      </c>
      <c r="I26" t="s">
        <v>31</v>
      </c>
      <c r="J26" s="7">
        <v>19291</v>
      </c>
      <c r="K26" s="7">
        <v>13243</v>
      </c>
      <c r="L26" s="7">
        <v>6114</v>
      </c>
      <c r="M26" s="7">
        <v>-66</v>
      </c>
      <c r="N26" s="7">
        <v>0</v>
      </c>
    </row>
    <row r="27" spans="1:14" x14ac:dyDescent="0.3">
      <c r="A27" s="4">
        <v>45300</v>
      </c>
      <c r="B27" s="3" t="s">
        <v>38</v>
      </c>
      <c r="C27" s="3" t="s">
        <v>19</v>
      </c>
      <c r="D27" t="s">
        <v>7</v>
      </c>
      <c r="E27">
        <v>1985</v>
      </c>
      <c r="F27" t="s">
        <v>7</v>
      </c>
      <c r="G27" t="s">
        <v>8</v>
      </c>
      <c r="H27" t="s">
        <v>6</v>
      </c>
      <c r="I27" t="s">
        <v>31</v>
      </c>
      <c r="J27" s="7">
        <v>19291</v>
      </c>
      <c r="K27" s="7">
        <v>11258</v>
      </c>
      <c r="L27" s="7">
        <v>6114</v>
      </c>
      <c r="M27" s="7">
        <v>1919</v>
      </c>
      <c r="N27" s="7">
        <v>0</v>
      </c>
    </row>
    <row r="28" spans="1:14" x14ac:dyDescent="0.3">
      <c r="A28" s="4">
        <v>45301</v>
      </c>
      <c r="B28" s="3" t="s">
        <v>38</v>
      </c>
      <c r="C28" s="3" t="s">
        <v>18</v>
      </c>
      <c r="D28" t="s">
        <v>4</v>
      </c>
      <c r="E28">
        <v>234</v>
      </c>
      <c r="F28" t="s">
        <v>5</v>
      </c>
      <c r="G28" t="s">
        <v>6</v>
      </c>
      <c r="H28" t="s">
        <v>31</v>
      </c>
      <c r="I28" t="s">
        <v>31</v>
      </c>
      <c r="J28" s="7">
        <v>19057</v>
      </c>
      <c r="K28" s="7">
        <v>11258</v>
      </c>
      <c r="L28" s="7">
        <v>6114</v>
      </c>
      <c r="M28" s="7">
        <v>1685</v>
      </c>
      <c r="N28" s="7">
        <v>0</v>
      </c>
    </row>
    <row r="29" spans="1:14" x14ac:dyDescent="0.3">
      <c r="A29" s="4">
        <v>45302</v>
      </c>
      <c r="B29" s="3" t="s">
        <v>38</v>
      </c>
      <c r="C29" s="3" t="s">
        <v>17</v>
      </c>
      <c r="D29" t="s">
        <v>4</v>
      </c>
      <c r="E29">
        <v>250</v>
      </c>
      <c r="F29" t="s">
        <v>5</v>
      </c>
      <c r="G29" t="s">
        <v>6</v>
      </c>
      <c r="H29" t="s">
        <v>31</v>
      </c>
      <c r="I29" t="s">
        <v>31</v>
      </c>
      <c r="J29" s="7">
        <v>18807</v>
      </c>
      <c r="K29" s="7">
        <v>11258</v>
      </c>
      <c r="L29" s="7">
        <v>6114</v>
      </c>
      <c r="M29" s="7">
        <v>1435</v>
      </c>
      <c r="N29" s="7">
        <v>0</v>
      </c>
    </row>
    <row r="30" spans="1:14" x14ac:dyDescent="0.3">
      <c r="A30" s="4">
        <v>45303</v>
      </c>
      <c r="B30" s="3" t="s">
        <v>38</v>
      </c>
      <c r="C30" s="3" t="s">
        <v>23</v>
      </c>
      <c r="D30" t="s">
        <v>4</v>
      </c>
      <c r="E30">
        <v>10</v>
      </c>
      <c r="F30" t="s">
        <v>5</v>
      </c>
      <c r="G30" t="s">
        <v>8</v>
      </c>
      <c r="H30" t="s">
        <v>31</v>
      </c>
      <c r="I30" t="s">
        <v>31</v>
      </c>
      <c r="J30" s="7">
        <v>18797</v>
      </c>
      <c r="K30" s="7">
        <v>11248</v>
      </c>
      <c r="L30" s="7">
        <v>6114</v>
      </c>
      <c r="M30" s="7">
        <v>1435</v>
      </c>
      <c r="N30" s="7">
        <v>0</v>
      </c>
    </row>
    <row r="31" spans="1:14" x14ac:dyDescent="0.3">
      <c r="A31" s="4">
        <v>45303</v>
      </c>
      <c r="B31" s="3" t="s">
        <v>38</v>
      </c>
      <c r="C31" s="3" t="s">
        <v>23</v>
      </c>
      <c r="D31" t="s">
        <v>4</v>
      </c>
      <c r="E31">
        <v>254</v>
      </c>
      <c r="F31" t="s">
        <v>5</v>
      </c>
      <c r="G31" t="s">
        <v>6</v>
      </c>
      <c r="H31" t="s">
        <v>31</v>
      </c>
      <c r="I31" t="s">
        <v>31</v>
      </c>
      <c r="J31" s="7">
        <v>18543</v>
      </c>
      <c r="K31" s="7">
        <v>11248</v>
      </c>
      <c r="L31" s="7">
        <v>6114</v>
      </c>
      <c r="M31" s="7">
        <v>1181</v>
      </c>
      <c r="N31" s="7">
        <v>0</v>
      </c>
    </row>
    <row r="32" spans="1:14" x14ac:dyDescent="0.3">
      <c r="A32" s="4">
        <v>45304</v>
      </c>
      <c r="B32" s="3" t="s">
        <v>38</v>
      </c>
      <c r="C32" s="3" t="s">
        <v>22</v>
      </c>
      <c r="D32" t="s">
        <v>16</v>
      </c>
      <c r="E32">
        <v>185</v>
      </c>
      <c r="F32" t="s">
        <v>5</v>
      </c>
      <c r="G32" t="s">
        <v>12</v>
      </c>
      <c r="H32" t="s">
        <v>31</v>
      </c>
      <c r="I32" t="s">
        <v>31</v>
      </c>
      <c r="J32" s="7">
        <v>18358</v>
      </c>
      <c r="K32" s="7">
        <v>11248</v>
      </c>
      <c r="L32" s="7">
        <v>5929</v>
      </c>
      <c r="M32" s="7">
        <v>1181</v>
      </c>
      <c r="N32" s="7">
        <v>0</v>
      </c>
    </row>
    <row r="33" spans="1:14" x14ac:dyDescent="0.3">
      <c r="A33" s="4">
        <v>45304</v>
      </c>
      <c r="B33" s="3" t="s">
        <v>38</v>
      </c>
      <c r="C33" s="3" t="s">
        <v>22</v>
      </c>
      <c r="D33" t="s">
        <v>4</v>
      </c>
      <c r="E33">
        <v>270</v>
      </c>
      <c r="F33" t="s">
        <v>5</v>
      </c>
      <c r="G33" t="s">
        <v>6</v>
      </c>
      <c r="H33" t="s">
        <v>31</v>
      </c>
      <c r="I33" t="s">
        <v>31</v>
      </c>
      <c r="J33" s="7">
        <v>18088</v>
      </c>
      <c r="K33" s="7">
        <v>11248</v>
      </c>
      <c r="L33" s="7">
        <v>5929</v>
      </c>
      <c r="M33" s="7">
        <v>911</v>
      </c>
      <c r="N33" s="7">
        <v>0</v>
      </c>
    </row>
    <row r="34" spans="1:14" x14ac:dyDescent="0.3">
      <c r="A34" s="4">
        <v>45305</v>
      </c>
      <c r="B34" s="3" t="s">
        <v>38</v>
      </c>
      <c r="C34" s="3" t="s">
        <v>21</v>
      </c>
      <c r="D34" t="s">
        <v>4</v>
      </c>
      <c r="E34">
        <v>655</v>
      </c>
      <c r="F34" t="s">
        <v>5</v>
      </c>
      <c r="G34" t="s">
        <v>6</v>
      </c>
      <c r="H34" t="s">
        <v>31</v>
      </c>
      <c r="I34" t="s">
        <v>31</v>
      </c>
      <c r="J34" s="7">
        <v>17433</v>
      </c>
      <c r="K34" s="7">
        <v>11248</v>
      </c>
      <c r="L34" s="7">
        <v>5929</v>
      </c>
      <c r="M34" s="7">
        <v>256</v>
      </c>
      <c r="N34" s="7">
        <v>0</v>
      </c>
    </row>
    <row r="35" spans="1:14" x14ac:dyDescent="0.3">
      <c r="A35" s="4">
        <v>45306</v>
      </c>
      <c r="B35" s="3" t="s">
        <v>38</v>
      </c>
      <c r="C35" s="3" t="s">
        <v>20</v>
      </c>
      <c r="D35" t="s">
        <v>4</v>
      </c>
      <c r="E35">
        <v>250</v>
      </c>
      <c r="F35" t="s">
        <v>5</v>
      </c>
      <c r="G35" t="s">
        <v>6</v>
      </c>
      <c r="H35" t="s">
        <v>31</v>
      </c>
      <c r="I35" t="s">
        <v>31</v>
      </c>
      <c r="J35" s="7">
        <v>17183</v>
      </c>
      <c r="K35" s="7">
        <v>11248</v>
      </c>
      <c r="L35" s="7">
        <v>5929</v>
      </c>
      <c r="M35" s="7">
        <v>6</v>
      </c>
      <c r="N35" s="7">
        <v>0</v>
      </c>
    </row>
    <row r="36" spans="1:14" x14ac:dyDescent="0.3">
      <c r="A36" s="4">
        <v>45306</v>
      </c>
      <c r="B36" s="3" t="s">
        <v>38</v>
      </c>
      <c r="C36" s="3" t="s">
        <v>20</v>
      </c>
      <c r="D36" t="s">
        <v>7</v>
      </c>
      <c r="E36">
        <v>1943</v>
      </c>
      <c r="F36" t="s">
        <v>7</v>
      </c>
      <c r="G36" t="s">
        <v>8</v>
      </c>
      <c r="H36" t="s">
        <v>6</v>
      </c>
      <c r="I36" t="s">
        <v>31</v>
      </c>
      <c r="J36" s="7">
        <v>17183</v>
      </c>
      <c r="K36" s="7">
        <v>9305</v>
      </c>
      <c r="L36" s="7">
        <v>5929</v>
      </c>
      <c r="M36" s="7">
        <v>1949</v>
      </c>
      <c r="N36" s="7">
        <v>0</v>
      </c>
    </row>
    <row r="37" spans="1:14" x14ac:dyDescent="0.3">
      <c r="A37" s="4">
        <v>45306</v>
      </c>
      <c r="B37" s="3" t="s">
        <v>38</v>
      </c>
      <c r="C37" s="3" t="s">
        <v>20</v>
      </c>
      <c r="D37" t="s">
        <v>4</v>
      </c>
      <c r="E37">
        <v>30</v>
      </c>
      <c r="F37" t="s">
        <v>5</v>
      </c>
      <c r="G37" t="s">
        <v>12</v>
      </c>
      <c r="H37" t="s">
        <v>31</v>
      </c>
      <c r="I37" t="s">
        <v>31</v>
      </c>
      <c r="J37" s="7">
        <v>17153</v>
      </c>
      <c r="K37" s="7">
        <v>9305</v>
      </c>
      <c r="L37" s="7">
        <v>5899</v>
      </c>
      <c r="M37" s="7">
        <v>1949</v>
      </c>
      <c r="N37" s="7">
        <v>0</v>
      </c>
    </row>
    <row r="38" spans="1:14" x14ac:dyDescent="0.3">
      <c r="A38" s="4">
        <v>45307</v>
      </c>
      <c r="B38" s="3" t="s">
        <v>38</v>
      </c>
      <c r="C38" s="3" t="s">
        <v>19</v>
      </c>
      <c r="D38" t="s">
        <v>4</v>
      </c>
      <c r="E38">
        <v>279</v>
      </c>
      <c r="F38" t="s">
        <v>5</v>
      </c>
      <c r="G38" t="s">
        <v>6</v>
      </c>
      <c r="H38" t="s">
        <v>31</v>
      </c>
      <c r="I38" t="s">
        <v>31</v>
      </c>
      <c r="J38" s="7">
        <v>16874</v>
      </c>
      <c r="K38" s="7">
        <v>9305</v>
      </c>
      <c r="L38" s="7">
        <v>5899</v>
      </c>
      <c r="M38" s="7">
        <v>1670</v>
      </c>
      <c r="N38" s="7">
        <v>0</v>
      </c>
    </row>
    <row r="39" spans="1:14" x14ac:dyDescent="0.3">
      <c r="A39" s="4">
        <v>45308</v>
      </c>
      <c r="B39" s="3" t="s">
        <v>38</v>
      </c>
      <c r="C39" s="3" t="s">
        <v>18</v>
      </c>
      <c r="D39" t="s">
        <v>4</v>
      </c>
      <c r="E39">
        <v>194</v>
      </c>
      <c r="F39" t="s">
        <v>5</v>
      </c>
      <c r="G39" t="s">
        <v>6</v>
      </c>
      <c r="H39" t="s">
        <v>31</v>
      </c>
      <c r="I39" t="s">
        <v>31</v>
      </c>
      <c r="J39" s="7">
        <v>16680</v>
      </c>
      <c r="K39" s="7">
        <v>9305</v>
      </c>
      <c r="L39" s="7">
        <v>5899</v>
      </c>
      <c r="M39" s="7">
        <v>1476</v>
      </c>
      <c r="N39" s="7">
        <v>0</v>
      </c>
    </row>
    <row r="40" spans="1:14" x14ac:dyDescent="0.3">
      <c r="A40" s="4">
        <v>45308</v>
      </c>
      <c r="B40" s="3" t="s">
        <v>38</v>
      </c>
      <c r="C40" s="3" t="s">
        <v>18</v>
      </c>
      <c r="D40" t="s">
        <v>33</v>
      </c>
      <c r="E40">
        <v>620</v>
      </c>
      <c r="F40" t="s">
        <v>5</v>
      </c>
      <c r="G40" t="s">
        <v>6</v>
      </c>
      <c r="H40" t="s">
        <v>31</v>
      </c>
      <c r="I40" t="s">
        <v>31</v>
      </c>
      <c r="J40" s="7">
        <v>16060</v>
      </c>
      <c r="K40" s="7">
        <v>9305</v>
      </c>
      <c r="L40" s="7">
        <v>5899</v>
      </c>
      <c r="M40" s="7">
        <v>856</v>
      </c>
      <c r="N40" s="7">
        <v>0</v>
      </c>
    </row>
    <row r="41" spans="1:14" x14ac:dyDescent="0.3">
      <c r="A41" s="4">
        <v>45309</v>
      </c>
      <c r="B41" s="3" t="s">
        <v>38</v>
      </c>
      <c r="C41" s="3" t="s">
        <v>17</v>
      </c>
      <c r="D41" t="s">
        <v>13</v>
      </c>
      <c r="E41">
        <v>945</v>
      </c>
      <c r="F41" t="s">
        <v>5</v>
      </c>
      <c r="G41" t="s">
        <v>8</v>
      </c>
      <c r="H41" t="s">
        <v>31</v>
      </c>
      <c r="I41" t="s">
        <v>31</v>
      </c>
      <c r="J41" s="7">
        <v>15115</v>
      </c>
      <c r="K41" s="7">
        <v>8360</v>
      </c>
      <c r="L41" s="7">
        <v>5899</v>
      </c>
      <c r="M41" s="7">
        <v>856</v>
      </c>
      <c r="N41" s="7">
        <v>0</v>
      </c>
    </row>
    <row r="42" spans="1:14" x14ac:dyDescent="0.3">
      <c r="A42" s="4">
        <v>45309</v>
      </c>
      <c r="B42" s="3" t="s">
        <v>38</v>
      </c>
      <c r="C42" s="3" t="s">
        <v>17</v>
      </c>
      <c r="D42" t="s">
        <v>34</v>
      </c>
      <c r="E42">
        <v>39</v>
      </c>
      <c r="F42" t="s">
        <v>5</v>
      </c>
      <c r="G42" t="s">
        <v>6</v>
      </c>
      <c r="H42" t="s">
        <v>31</v>
      </c>
      <c r="I42" t="s">
        <v>31</v>
      </c>
      <c r="J42" s="7">
        <v>15076</v>
      </c>
      <c r="K42" s="7">
        <v>8360</v>
      </c>
      <c r="L42" s="7">
        <v>5899</v>
      </c>
      <c r="M42" s="7">
        <v>817</v>
      </c>
      <c r="N42" s="7">
        <v>0</v>
      </c>
    </row>
    <row r="43" spans="1:14" x14ac:dyDescent="0.3">
      <c r="A43" s="4">
        <v>45309</v>
      </c>
      <c r="B43" s="3" t="s">
        <v>38</v>
      </c>
      <c r="C43" s="3" t="s">
        <v>17</v>
      </c>
      <c r="D43" t="s">
        <v>4</v>
      </c>
      <c r="E43">
        <v>350</v>
      </c>
      <c r="F43" t="s">
        <v>5</v>
      </c>
      <c r="G43" t="s">
        <v>6</v>
      </c>
      <c r="H43" t="s">
        <v>31</v>
      </c>
      <c r="I43" t="s">
        <v>31</v>
      </c>
      <c r="J43" s="7">
        <v>14726</v>
      </c>
      <c r="K43" s="7">
        <v>8360</v>
      </c>
      <c r="L43" s="7">
        <v>5899</v>
      </c>
      <c r="M43" s="7">
        <v>467</v>
      </c>
      <c r="N43" s="7">
        <v>0</v>
      </c>
    </row>
    <row r="44" spans="1:14" x14ac:dyDescent="0.3">
      <c r="A44" s="4">
        <v>45310</v>
      </c>
      <c r="B44" s="3" t="s">
        <v>38</v>
      </c>
      <c r="C44" s="3" t="s">
        <v>23</v>
      </c>
      <c r="D44" t="s">
        <v>4</v>
      </c>
      <c r="E44">
        <v>169</v>
      </c>
      <c r="F44" t="s">
        <v>5</v>
      </c>
      <c r="G44" t="s">
        <v>6</v>
      </c>
      <c r="H44" t="s">
        <v>31</v>
      </c>
      <c r="I44" t="s">
        <v>31</v>
      </c>
      <c r="J44" s="7">
        <v>14557</v>
      </c>
      <c r="K44" s="7">
        <v>8360</v>
      </c>
      <c r="L44" s="7">
        <v>5899</v>
      </c>
      <c r="M44" s="7">
        <v>298</v>
      </c>
      <c r="N44" s="7">
        <v>0</v>
      </c>
    </row>
    <row r="45" spans="1:14" x14ac:dyDescent="0.3">
      <c r="A45" s="4">
        <v>45311</v>
      </c>
      <c r="B45" s="3" t="s">
        <v>38</v>
      </c>
      <c r="C45" s="3" t="s">
        <v>22</v>
      </c>
      <c r="D45" t="s">
        <v>35</v>
      </c>
      <c r="E45">
        <v>10000</v>
      </c>
      <c r="F45" t="s">
        <v>5</v>
      </c>
      <c r="G45" t="s">
        <v>12</v>
      </c>
      <c r="H45" t="s">
        <v>31</v>
      </c>
      <c r="I45" t="s">
        <v>31</v>
      </c>
      <c r="J45" s="7">
        <v>4557</v>
      </c>
      <c r="K45" s="7">
        <v>8360</v>
      </c>
      <c r="L45" s="7">
        <v>-4101</v>
      </c>
      <c r="M45" s="7">
        <v>298</v>
      </c>
      <c r="N45" s="7">
        <v>0</v>
      </c>
    </row>
    <row r="46" spans="1:14" x14ac:dyDescent="0.3">
      <c r="A46" s="4">
        <v>45311</v>
      </c>
      <c r="B46" s="3" t="s">
        <v>38</v>
      </c>
      <c r="C46" s="3" t="s">
        <v>22</v>
      </c>
      <c r="D46" t="s">
        <v>7</v>
      </c>
      <c r="E46">
        <v>8000</v>
      </c>
      <c r="F46" t="s">
        <v>7</v>
      </c>
      <c r="G46" t="s">
        <v>8</v>
      </c>
      <c r="H46" t="s">
        <v>12</v>
      </c>
      <c r="I46" t="s">
        <v>31</v>
      </c>
      <c r="J46" s="7">
        <v>4557</v>
      </c>
      <c r="K46" s="7">
        <v>360</v>
      </c>
      <c r="L46" s="7">
        <v>3899</v>
      </c>
      <c r="M46" s="7">
        <v>298</v>
      </c>
      <c r="N46" s="7">
        <v>0</v>
      </c>
    </row>
    <row r="47" spans="1:14" x14ac:dyDescent="0.3">
      <c r="A47" s="4">
        <v>45316</v>
      </c>
      <c r="B47" s="3" t="s">
        <v>38</v>
      </c>
      <c r="C47" s="3" t="s">
        <v>17</v>
      </c>
      <c r="D47" t="s">
        <v>13</v>
      </c>
      <c r="E47">
        <v>830</v>
      </c>
      <c r="F47" t="s">
        <v>5</v>
      </c>
      <c r="G47" t="s">
        <v>12</v>
      </c>
      <c r="H47" t="s">
        <v>31</v>
      </c>
      <c r="I47" t="s">
        <v>31</v>
      </c>
      <c r="J47" s="7">
        <v>3727</v>
      </c>
      <c r="K47" s="7">
        <v>360</v>
      </c>
      <c r="L47" s="7">
        <v>3069</v>
      </c>
      <c r="M47" s="7">
        <v>298</v>
      </c>
      <c r="N47" s="7">
        <v>0</v>
      </c>
    </row>
    <row r="48" spans="1:14" x14ac:dyDescent="0.3">
      <c r="A48" s="4">
        <v>45316</v>
      </c>
      <c r="B48" s="3" t="s">
        <v>38</v>
      </c>
      <c r="C48" s="3" t="s">
        <v>17</v>
      </c>
      <c r="D48" t="s">
        <v>30</v>
      </c>
      <c r="E48">
        <v>26384</v>
      </c>
      <c r="F48" t="s">
        <v>11</v>
      </c>
      <c r="G48" t="s">
        <v>8</v>
      </c>
      <c r="H48" t="s">
        <v>31</v>
      </c>
      <c r="I48" t="s">
        <v>31</v>
      </c>
      <c r="J48" s="7">
        <v>30111</v>
      </c>
      <c r="K48" s="7">
        <v>26744</v>
      </c>
      <c r="L48" s="7">
        <v>3069</v>
      </c>
      <c r="M48" s="7">
        <v>298</v>
      </c>
      <c r="N48" s="7">
        <v>0</v>
      </c>
    </row>
    <row r="49" spans="1:14" x14ac:dyDescent="0.3">
      <c r="A49" s="4">
        <v>45318</v>
      </c>
      <c r="B49" s="3" t="s">
        <v>38</v>
      </c>
      <c r="C49" s="3" t="s">
        <v>22</v>
      </c>
      <c r="D49" t="s">
        <v>4</v>
      </c>
      <c r="E49">
        <v>111</v>
      </c>
      <c r="F49" t="s">
        <v>5</v>
      </c>
      <c r="G49" t="s">
        <v>6</v>
      </c>
      <c r="H49" t="s">
        <v>31</v>
      </c>
      <c r="I49" t="s">
        <v>31</v>
      </c>
      <c r="J49" s="7">
        <v>30000</v>
      </c>
      <c r="K49" s="7">
        <v>26744</v>
      </c>
      <c r="L49" s="7">
        <v>3069</v>
      </c>
      <c r="M49" s="7">
        <v>187</v>
      </c>
      <c r="N49" s="7">
        <v>0</v>
      </c>
    </row>
    <row r="50" spans="1:14" x14ac:dyDescent="0.3">
      <c r="A50" s="4">
        <v>45319</v>
      </c>
      <c r="B50" s="3" t="s">
        <v>38</v>
      </c>
      <c r="C50" s="3" t="s">
        <v>21</v>
      </c>
      <c r="D50" t="s">
        <v>4</v>
      </c>
      <c r="E50">
        <v>100</v>
      </c>
      <c r="F50" t="s">
        <v>5</v>
      </c>
      <c r="G50" t="s">
        <v>6</v>
      </c>
      <c r="H50" t="s">
        <v>31</v>
      </c>
      <c r="I50" t="s">
        <v>31</v>
      </c>
      <c r="J50" s="7">
        <v>29900</v>
      </c>
      <c r="K50" s="7">
        <v>26744</v>
      </c>
      <c r="L50" s="7">
        <v>3069</v>
      </c>
      <c r="M50" s="7">
        <v>87</v>
      </c>
      <c r="N50" s="7">
        <v>0</v>
      </c>
    </row>
    <row r="51" spans="1:14" x14ac:dyDescent="0.3">
      <c r="A51" s="4">
        <v>45320</v>
      </c>
      <c r="B51" s="3" t="s">
        <v>38</v>
      </c>
      <c r="C51" s="3" t="s">
        <v>20</v>
      </c>
      <c r="D51" t="s">
        <v>4</v>
      </c>
      <c r="E51">
        <v>200</v>
      </c>
      <c r="F51" t="s">
        <v>5</v>
      </c>
      <c r="G51" t="s">
        <v>8</v>
      </c>
      <c r="H51" t="s">
        <v>31</v>
      </c>
      <c r="I51" t="s">
        <v>31</v>
      </c>
      <c r="J51" s="7">
        <v>29700</v>
      </c>
      <c r="K51" s="7">
        <v>26544</v>
      </c>
      <c r="L51" s="7">
        <v>3069</v>
      </c>
      <c r="M51" s="7">
        <v>87</v>
      </c>
      <c r="N51" s="7">
        <v>0</v>
      </c>
    </row>
    <row r="52" spans="1:14" x14ac:dyDescent="0.3">
      <c r="A52" s="4">
        <v>45320</v>
      </c>
      <c r="B52" s="3" t="s">
        <v>38</v>
      </c>
      <c r="C52" s="3" t="s">
        <v>20</v>
      </c>
      <c r="D52" t="s">
        <v>4</v>
      </c>
      <c r="E52">
        <v>60</v>
      </c>
      <c r="F52" t="s">
        <v>5</v>
      </c>
      <c r="G52" t="s">
        <v>6</v>
      </c>
      <c r="H52" t="s">
        <v>31</v>
      </c>
      <c r="I52" t="s">
        <v>31</v>
      </c>
      <c r="J52" s="7">
        <v>29640</v>
      </c>
      <c r="K52" s="7">
        <v>26544</v>
      </c>
      <c r="L52" s="7">
        <v>3069</v>
      </c>
      <c r="M52" s="7">
        <v>27</v>
      </c>
      <c r="N52" s="7">
        <v>0</v>
      </c>
    </row>
    <row r="53" spans="1:14" x14ac:dyDescent="0.3">
      <c r="A53" s="4">
        <v>45320</v>
      </c>
      <c r="B53" s="3" t="s">
        <v>38</v>
      </c>
      <c r="C53" s="3" t="s">
        <v>20</v>
      </c>
      <c r="D53" t="s">
        <v>13</v>
      </c>
      <c r="E53">
        <v>810</v>
      </c>
      <c r="F53" t="s">
        <v>5</v>
      </c>
      <c r="G53" t="s">
        <v>8</v>
      </c>
      <c r="H53" t="s">
        <v>31</v>
      </c>
      <c r="I53" t="s">
        <v>31</v>
      </c>
      <c r="J53" s="7">
        <v>28830</v>
      </c>
      <c r="K53" s="7">
        <v>25734</v>
      </c>
      <c r="L53" s="7">
        <v>3069</v>
      </c>
      <c r="M53" s="7">
        <v>27</v>
      </c>
      <c r="N53" s="7">
        <v>0</v>
      </c>
    </row>
    <row r="54" spans="1:14" x14ac:dyDescent="0.3">
      <c r="A54" s="4">
        <v>45321</v>
      </c>
      <c r="B54" s="3" t="s">
        <v>38</v>
      </c>
      <c r="C54" s="3" t="s">
        <v>19</v>
      </c>
      <c r="D54" t="s">
        <v>4</v>
      </c>
      <c r="E54">
        <v>160</v>
      </c>
      <c r="F54" t="s">
        <v>5</v>
      </c>
      <c r="G54" t="s">
        <v>8</v>
      </c>
      <c r="H54" t="s">
        <v>31</v>
      </c>
      <c r="I54" t="s">
        <v>31</v>
      </c>
      <c r="J54" s="7">
        <v>28670</v>
      </c>
      <c r="K54" s="7">
        <v>25574</v>
      </c>
      <c r="L54" s="7">
        <v>3069</v>
      </c>
      <c r="M54" s="7">
        <v>27</v>
      </c>
      <c r="N54" s="7">
        <v>0</v>
      </c>
    </row>
    <row r="55" spans="1:14" x14ac:dyDescent="0.3">
      <c r="A55" s="4">
        <v>45322</v>
      </c>
      <c r="B55" s="3" t="s">
        <v>38</v>
      </c>
      <c r="C55" s="3" t="s">
        <v>18</v>
      </c>
      <c r="D55" t="s">
        <v>4</v>
      </c>
      <c r="E55">
        <v>130</v>
      </c>
      <c r="F55" t="s">
        <v>5</v>
      </c>
      <c r="G55" t="s">
        <v>8</v>
      </c>
      <c r="H55" t="s">
        <v>31</v>
      </c>
      <c r="I55" t="s">
        <v>31</v>
      </c>
      <c r="J55" s="7">
        <v>28540</v>
      </c>
      <c r="K55" s="7">
        <v>25444</v>
      </c>
      <c r="L55" s="7">
        <v>3069</v>
      </c>
      <c r="M55" s="7">
        <v>27</v>
      </c>
      <c r="N55" s="7">
        <v>0</v>
      </c>
    </row>
    <row r="56" spans="1:14" x14ac:dyDescent="0.3">
      <c r="A56" s="4">
        <v>45322</v>
      </c>
      <c r="B56" s="3" t="s">
        <v>38</v>
      </c>
      <c r="C56" s="3" t="s">
        <v>18</v>
      </c>
      <c r="D56" t="s">
        <v>4</v>
      </c>
      <c r="E56">
        <v>10</v>
      </c>
      <c r="F56" t="s">
        <v>5</v>
      </c>
      <c r="G56" t="s">
        <v>6</v>
      </c>
      <c r="H56" t="s">
        <v>31</v>
      </c>
      <c r="I56" t="s">
        <v>31</v>
      </c>
      <c r="J56" s="7">
        <v>28530</v>
      </c>
      <c r="K56" s="7">
        <v>25444</v>
      </c>
      <c r="L56" s="7">
        <v>3069</v>
      </c>
      <c r="M56" s="7">
        <v>17</v>
      </c>
      <c r="N56" s="7">
        <v>0</v>
      </c>
    </row>
    <row r="57" spans="1:14" x14ac:dyDescent="0.3">
      <c r="A57" s="4">
        <v>45323</v>
      </c>
      <c r="B57" s="3" t="s">
        <v>39</v>
      </c>
      <c r="C57" s="3" t="s">
        <v>17</v>
      </c>
      <c r="D57" t="s">
        <v>4</v>
      </c>
      <c r="E57">
        <v>310</v>
      </c>
      <c r="F57" t="s">
        <v>5</v>
      </c>
      <c r="G57" t="s">
        <v>8</v>
      </c>
      <c r="H57" t="s">
        <v>31</v>
      </c>
      <c r="I57" t="s">
        <v>31</v>
      </c>
      <c r="J57" s="7">
        <v>28220</v>
      </c>
      <c r="K57" s="7">
        <v>25134</v>
      </c>
      <c r="L57" s="7">
        <v>3069</v>
      </c>
      <c r="M57" s="7">
        <v>17</v>
      </c>
      <c r="N57" s="7">
        <v>0</v>
      </c>
    </row>
    <row r="58" spans="1:14" x14ac:dyDescent="0.3">
      <c r="A58" s="4">
        <v>45324</v>
      </c>
      <c r="B58" s="3" t="s">
        <v>39</v>
      </c>
      <c r="C58" s="3" t="s">
        <v>23</v>
      </c>
      <c r="D58" t="s">
        <v>4</v>
      </c>
      <c r="E58">
        <v>214</v>
      </c>
      <c r="F58" t="s">
        <v>5</v>
      </c>
      <c r="G58" t="s">
        <v>8</v>
      </c>
      <c r="H58" t="s">
        <v>31</v>
      </c>
      <c r="I58" t="s">
        <v>31</v>
      </c>
      <c r="J58" s="7">
        <v>28006</v>
      </c>
      <c r="K58" s="7">
        <v>24920</v>
      </c>
      <c r="L58" s="7">
        <v>3069</v>
      </c>
      <c r="M58" s="7">
        <v>17</v>
      </c>
      <c r="N58" s="7">
        <v>0</v>
      </c>
    </row>
    <row r="59" spans="1:14" x14ac:dyDescent="0.3">
      <c r="A59" s="4">
        <v>45326</v>
      </c>
      <c r="B59" s="3" t="s">
        <v>39</v>
      </c>
      <c r="C59" s="3" t="s">
        <v>21</v>
      </c>
      <c r="D59" t="s">
        <v>4</v>
      </c>
      <c r="E59">
        <v>50</v>
      </c>
      <c r="F59" t="s">
        <v>5</v>
      </c>
      <c r="G59" t="s">
        <v>8</v>
      </c>
      <c r="H59" t="s">
        <v>31</v>
      </c>
      <c r="I59" t="s">
        <v>31</v>
      </c>
      <c r="J59" s="7">
        <v>27956</v>
      </c>
      <c r="K59" s="7">
        <v>24870</v>
      </c>
      <c r="L59" s="7">
        <v>3069</v>
      </c>
      <c r="M59" s="7">
        <v>17</v>
      </c>
      <c r="N59" s="7">
        <v>0</v>
      </c>
    </row>
    <row r="60" spans="1:14" x14ac:dyDescent="0.3">
      <c r="A60" s="4">
        <v>45327</v>
      </c>
      <c r="B60" s="3" t="s">
        <v>39</v>
      </c>
      <c r="C60" s="3" t="s">
        <v>20</v>
      </c>
      <c r="D60" t="s">
        <v>4</v>
      </c>
      <c r="E60">
        <v>95</v>
      </c>
      <c r="F60" t="s">
        <v>5</v>
      </c>
      <c r="G60" t="s">
        <v>8</v>
      </c>
      <c r="H60" t="s">
        <v>31</v>
      </c>
      <c r="I60" t="s">
        <v>31</v>
      </c>
      <c r="J60" s="7">
        <v>27861</v>
      </c>
      <c r="K60" s="7">
        <v>24775</v>
      </c>
      <c r="L60" s="7">
        <v>3069</v>
      </c>
      <c r="M60" s="7">
        <v>17</v>
      </c>
      <c r="N60" s="7">
        <v>0</v>
      </c>
    </row>
    <row r="61" spans="1:14" x14ac:dyDescent="0.3">
      <c r="A61" s="4">
        <v>45327</v>
      </c>
      <c r="B61" s="3" t="s">
        <v>39</v>
      </c>
      <c r="C61" s="3" t="s">
        <v>20</v>
      </c>
      <c r="D61" t="s">
        <v>13</v>
      </c>
      <c r="E61">
        <v>500</v>
      </c>
      <c r="F61" t="s">
        <v>5</v>
      </c>
      <c r="G61" t="s">
        <v>8</v>
      </c>
      <c r="H61" t="s">
        <v>31</v>
      </c>
      <c r="I61" t="s">
        <v>31</v>
      </c>
      <c r="J61" s="7">
        <v>27361</v>
      </c>
      <c r="K61" s="7">
        <v>24275</v>
      </c>
      <c r="L61" s="7">
        <v>3069</v>
      </c>
      <c r="M61" s="7">
        <v>17</v>
      </c>
      <c r="N61" s="7">
        <v>0</v>
      </c>
    </row>
    <row r="62" spans="1:14" x14ac:dyDescent="0.3">
      <c r="A62" s="4">
        <v>45328</v>
      </c>
      <c r="B62" s="3" t="s">
        <v>39</v>
      </c>
      <c r="C62" s="3" t="s">
        <v>19</v>
      </c>
      <c r="D62" t="s">
        <v>33</v>
      </c>
      <c r="E62">
        <v>20</v>
      </c>
      <c r="F62" t="s">
        <v>5</v>
      </c>
      <c r="G62" t="s">
        <v>8</v>
      </c>
      <c r="H62" t="s">
        <v>31</v>
      </c>
      <c r="I62" t="s">
        <v>31</v>
      </c>
      <c r="J62" s="7">
        <v>27341</v>
      </c>
      <c r="K62" s="7">
        <v>24255</v>
      </c>
      <c r="L62" s="7">
        <v>3069</v>
      </c>
      <c r="M62" s="7">
        <v>17</v>
      </c>
      <c r="N62" s="7">
        <v>0</v>
      </c>
    </row>
    <row r="63" spans="1:14" x14ac:dyDescent="0.3">
      <c r="A63" s="4">
        <v>45328</v>
      </c>
      <c r="B63" s="3" t="s">
        <v>39</v>
      </c>
      <c r="C63" s="3" t="s">
        <v>19</v>
      </c>
      <c r="D63" t="s">
        <v>4</v>
      </c>
      <c r="E63">
        <v>220</v>
      </c>
      <c r="F63" t="s">
        <v>5</v>
      </c>
      <c r="G63" t="s">
        <v>8</v>
      </c>
      <c r="H63" t="s">
        <v>31</v>
      </c>
      <c r="I63" t="s">
        <v>31</v>
      </c>
      <c r="J63" s="7">
        <v>27121</v>
      </c>
      <c r="K63" s="7">
        <v>24035</v>
      </c>
      <c r="L63" s="7">
        <v>3069</v>
      </c>
      <c r="M63" s="7">
        <v>17</v>
      </c>
      <c r="N63" s="7">
        <v>0</v>
      </c>
    </row>
    <row r="64" spans="1:14" x14ac:dyDescent="0.3">
      <c r="A64" s="4">
        <v>45329</v>
      </c>
      <c r="B64" s="3" t="s">
        <v>39</v>
      </c>
      <c r="C64" s="3" t="s">
        <v>18</v>
      </c>
      <c r="D64" t="s">
        <v>4</v>
      </c>
      <c r="E64">
        <v>130</v>
      </c>
      <c r="F64" t="s">
        <v>5</v>
      </c>
      <c r="G64" t="s">
        <v>6</v>
      </c>
      <c r="H64" t="s">
        <v>31</v>
      </c>
      <c r="I64" t="s">
        <v>31</v>
      </c>
      <c r="J64" s="7">
        <v>26991</v>
      </c>
      <c r="K64" s="7">
        <v>24035</v>
      </c>
      <c r="L64" s="7">
        <v>3069</v>
      </c>
      <c r="M64" s="7">
        <v>-113</v>
      </c>
      <c r="N64" s="7">
        <v>0</v>
      </c>
    </row>
    <row r="65" spans="1:14" x14ac:dyDescent="0.3">
      <c r="A65" s="4">
        <v>45329</v>
      </c>
      <c r="B65" s="3" t="s">
        <v>39</v>
      </c>
      <c r="C65" s="3" t="s">
        <v>18</v>
      </c>
      <c r="D65" t="s">
        <v>7</v>
      </c>
      <c r="E65">
        <v>1992</v>
      </c>
      <c r="F65" t="s">
        <v>7</v>
      </c>
      <c r="G65" t="s">
        <v>8</v>
      </c>
      <c r="H65" t="s">
        <v>6</v>
      </c>
      <c r="I65" t="s">
        <v>31</v>
      </c>
      <c r="J65" s="7">
        <v>26991</v>
      </c>
      <c r="K65" s="7">
        <v>22043</v>
      </c>
      <c r="L65" s="7">
        <v>3069</v>
      </c>
      <c r="M65" s="7">
        <v>1879</v>
      </c>
      <c r="N65" s="7">
        <v>0</v>
      </c>
    </row>
    <row r="66" spans="1:14" x14ac:dyDescent="0.3">
      <c r="A66" s="4">
        <v>45330</v>
      </c>
      <c r="B66" s="3" t="s">
        <v>39</v>
      </c>
      <c r="C66" s="3" t="s">
        <v>17</v>
      </c>
      <c r="D66" t="s">
        <v>4</v>
      </c>
      <c r="E66">
        <v>270</v>
      </c>
      <c r="F66" t="s">
        <v>5</v>
      </c>
      <c r="G66" t="s">
        <v>6</v>
      </c>
      <c r="H66" t="s">
        <v>31</v>
      </c>
      <c r="I66" t="s">
        <v>31</v>
      </c>
      <c r="J66" s="7">
        <v>26721</v>
      </c>
      <c r="K66" s="7">
        <v>22043</v>
      </c>
      <c r="L66" s="7">
        <v>3069</v>
      </c>
      <c r="M66" s="7">
        <v>1609</v>
      </c>
      <c r="N66" s="7">
        <v>0</v>
      </c>
    </row>
    <row r="67" spans="1:14" x14ac:dyDescent="0.3">
      <c r="A67" s="4">
        <v>45330</v>
      </c>
      <c r="B67" s="3" t="s">
        <v>39</v>
      </c>
      <c r="C67" s="3" t="s">
        <v>17</v>
      </c>
      <c r="D67" t="s">
        <v>33</v>
      </c>
      <c r="E67">
        <v>200</v>
      </c>
      <c r="F67" t="s">
        <v>5</v>
      </c>
      <c r="G67" t="s">
        <v>6</v>
      </c>
      <c r="H67" t="s">
        <v>31</v>
      </c>
      <c r="I67" t="s">
        <v>31</v>
      </c>
      <c r="J67" s="7">
        <v>26521</v>
      </c>
      <c r="K67" s="7">
        <v>22043</v>
      </c>
      <c r="L67" s="7">
        <v>3069</v>
      </c>
      <c r="M67" s="7">
        <v>1409</v>
      </c>
      <c r="N67" s="7">
        <v>0</v>
      </c>
    </row>
    <row r="68" spans="1:14" x14ac:dyDescent="0.3">
      <c r="A68" s="4">
        <v>45331</v>
      </c>
      <c r="B68" s="3" t="s">
        <v>39</v>
      </c>
      <c r="C68" s="3" t="s">
        <v>23</v>
      </c>
      <c r="D68" t="s">
        <v>4</v>
      </c>
      <c r="E68">
        <v>50</v>
      </c>
      <c r="F68" t="s">
        <v>5</v>
      </c>
      <c r="G68" t="s">
        <v>12</v>
      </c>
      <c r="H68" t="s">
        <v>31</v>
      </c>
      <c r="I68" t="s">
        <v>31</v>
      </c>
      <c r="J68" s="7">
        <v>26471</v>
      </c>
      <c r="K68" s="7">
        <v>22043</v>
      </c>
      <c r="L68" s="7">
        <v>3019</v>
      </c>
      <c r="M68" s="7">
        <v>1409</v>
      </c>
      <c r="N68" s="7">
        <v>0</v>
      </c>
    </row>
    <row r="69" spans="1:14" x14ac:dyDescent="0.3">
      <c r="A69" s="4">
        <v>45331</v>
      </c>
      <c r="B69" s="3" t="s">
        <v>39</v>
      </c>
      <c r="C69" s="3" t="s">
        <v>23</v>
      </c>
      <c r="D69" t="s">
        <v>14</v>
      </c>
      <c r="E69">
        <v>3500</v>
      </c>
      <c r="F69" t="s">
        <v>5</v>
      </c>
      <c r="G69" t="s">
        <v>8</v>
      </c>
      <c r="H69" t="s">
        <v>31</v>
      </c>
      <c r="I69" t="s">
        <v>31</v>
      </c>
      <c r="J69" s="7">
        <v>22971</v>
      </c>
      <c r="K69" s="7">
        <v>18543</v>
      </c>
      <c r="L69" s="7">
        <v>3019</v>
      </c>
      <c r="M69" s="7">
        <v>1409</v>
      </c>
      <c r="N69" s="7">
        <v>0</v>
      </c>
    </row>
    <row r="70" spans="1:14" x14ac:dyDescent="0.3">
      <c r="A70" s="4">
        <v>45331</v>
      </c>
      <c r="B70" s="3" t="s">
        <v>39</v>
      </c>
      <c r="C70" s="3" t="s">
        <v>23</v>
      </c>
      <c r="D70" t="s">
        <v>4</v>
      </c>
      <c r="E70">
        <v>110</v>
      </c>
      <c r="F70" t="s">
        <v>5</v>
      </c>
      <c r="G70" t="s">
        <v>6</v>
      </c>
      <c r="H70" t="s">
        <v>31</v>
      </c>
      <c r="I70" t="s">
        <v>31</v>
      </c>
      <c r="J70" s="7">
        <v>22861</v>
      </c>
      <c r="K70" s="7">
        <v>18543</v>
      </c>
      <c r="L70" s="7">
        <v>3019</v>
      </c>
      <c r="M70" s="7">
        <v>1299</v>
      </c>
      <c r="N70" s="7">
        <v>0</v>
      </c>
    </row>
    <row r="71" spans="1:14" x14ac:dyDescent="0.3">
      <c r="A71" s="4">
        <v>45332</v>
      </c>
      <c r="B71" s="3" t="s">
        <v>39</v>
      </c>
      <c r="C71" s="3" t="s">
        <v>22</v>
      </c>
      <c r="D71" t="s">
        <v>13</v>
      </c>
      <c r="E71">
        <v>500</v>
      </c>
      <c r="F71" t="s">
        <v>5</v>
      </c>
      <c r="G71" t="s">
        <v>6</v>
      </c>
      <c r="H71" t="s">
        <v>31</v>
      </c>
      <c r="I71" t="s">
        <v>31</v>
      </c>
      <c r="J71" s="7">
        <v>22361</v>
      </c>
      <c r="K71" s="7">
        <v>18543</v>
      </c>
      <c r="L71" s="7">
        <v>3019</v>
      </c>
      <c r="M71" s="7">
        <v>799</v>
      </c>
      <c r="N71" s="7">
        <v>0</v>
      </c>
    </row>
    <row r="72" spans="1:14" x14ac:dyDescent="0.3">
      <c r="A72" s="4">
        <v>45333</v>
      </c>
      <c r="B72" s="3" t="s">
        <v>39</v>
      </c>
      <c r="C72" s="3" t="s">
        <v>21</v>
      </c>
      <c r="D72" t="s">
        <v>34</v>
      </c>
      <c r="E72">
        <v>700</v>
      </c>
      <c r="F72" t="s">
        <v>5</v>
      </c>
      <c r="G72" t="s">
        <v>8</v>
      </c>
      <c r="H72" t="s">
        <v>31</v>
      </c>
      <c r="I72" t="s">
        <v>31</v>
      </c>
      <c r="J72" s="7">
        <v>21661</v>
      </c>
      <c r="K72" s="7">
        <v>17843</v>
      </c>
      <c r="L72" s="7">
        <v>3019</v>
      </c>
      <c r="M72" s="7">
        <v>799</v>
      </c>
      <c r="N72" s="7">
        <v>0</v>
      </c>
    </row>
    <row r="73" spans="1:14" x14ac:dyDescent="0.3">
      <c r="A73" s="4">
        <v>45335</v>
      </c>
      <c r="B73" s="3" t="s">
        <v>39</v>
      </c>
      <c r="C73" s="3" t="s">
        <v>19</v>
      </c>
      <c r="D73" t="s">
        <v>13</v>
      </c>
      <c r="E73">
        <v>287</v>
      </c>
      <c r="F73" t="s">
        <v>5</v>
      </c>
      <c r="G73" t="s">
        <v>6</v>
      </c>
      <c r="H73" t="s">
        <v>31</v>
      </c>
      <c r="I73" t="s">
        <v>31</v>
      </c>
      <c r="J73" s="7">
        <v>21374</v>
      </c>
      <c r="K73" s="7">
        <v>17843</v>
      </c>
      <c r="L73" s="7">
        <v>3019</v>
      </c>
      <c r="M73" s="7">
        <v>512</v>
      </c>
      <c r="N73" s="7">
        <v>0</v>
      </c>
    </row>
    <row r="74" spans="1:14" x14ac:dyDescent="0.3">
      <c r="A74" s="4">
        <v>45336</v>
      </c>
      <c r="B74" s="3" t="s">
        <v>39</v>
      </c>
      <c r="C74" s="3" t="s">
        <v>18</v>
      </c>
      <c r="D74" t="s">
        <v>7</v>
      </c>
      <c r="E74">
        <v>1897</v>
      </c>
      <c r="F74" t="s">
        <v>7</v>
      </c>
      <c r="G74" t="s">
        <v>8</v>
      </c>
      <c r="H74" t="s">
        <v>6</v>
      </c>
      <c r="I74" t="s">
        <v>31</v>
      </c>
      <c r="J74" s="7">
        <v>21374</v>
      </c>
      <c r="K74" s="7">
        <v>15946</v>
      </c>
      <c r="L74" s="7">
        <v>3019</v>
      </c>
      <c r="M74" s="7">
        <v>2409</v>
      </c>
      <c r="N74" s="7">
        <v>0</v>
      </c>
    </row>
    <row r="75" spans="1:14" x14ac:dyDescent="0.3">
      <c r="A75" s="4">
        <v>45336</v>
      </c>
      <c r="B75" s="3" t="s">
        <v>39</v>
      </c>
      <c r="C75" s="3" t="s">
        <v>18</v>
      </c>
      <c r="D75" t="s">
        <v>4</v>
      </c>
      <c r="E75">
        <v>330</v>
      </c>
      <c r="F75" t="s">
        <v>5</v>
      </c>
      <c r="G75" t="s">
        <v>6</v>
      </c>
      <c r="H75" t="s">
        <v>31</v>
      </c>
      <c r="I75" t="s">
        <v>31</v>
      </c>
      <c r="J75" s="7">
        <v>21044</v>
      </c>
      <c r="K75" s="7">
        <v>15946</v>
      </c>
      <c r="L75" s="7">
        <v>3019</v>
      </c>
      <c r="M75" s="7">
        <v>2079</v>
      </c>
      <c r="N75" s="7">
        <v>0</v>
      </c>
    </row>
    <row r="76" spans="1:14" x14ac:dyDescent="0.3">
      <c r="A76" s="4">
        <v>45336</v>
      </c>
      <c r="B76" s="3" t="s">
        <v>39</v>
      </c>
      <c r="C76" s="3" t="s">
        <v>18</v>
      </c>
      <c r="D76" t="s">
        <v>16</v>
      </c>
      <c r="E76">
        <v>199</v>
      </c>
      <c r="F76" t="s">
        <v>5</v>
      </c>
      <c r="G76" t="s">
        <v>12</v>
      </c>
      <c r="H76" t="s">
        <v>31</v>
      </c>
      <c r="I76" t="s">
        <v>31</v>
      </c>
      <c r="J76" s="7">
        <v>20845</v>
      </c>
      <c r="K76" s="7">
        <v>15946</v>
      </c>
      <c r="L76" s="7">
        <v>2820</v>
      </c>
      <c r="M76" s="7">
        <v>2079</v>
      </c>
      <c r="N76" s="7">
        <v>0</v>
      </c>
    </row>
    <row r="77" spans="1:14" x14ac:dyDescent="0.3">
      <c r="A77" s="4">
        <v>45336</v>
      </c>
      <c r="B77" s="3" t="s">
        <v>39</v>
      </c>
      <c r="C77" s="3" t="s">
        <v>18</v>
      </c>
      <c r="D77" t="s">
        <v>13</v>
      </c>
      <c r="E77">
        <v>100</v>
      </c>
      <c r="F77" t="s">
        <v>5</v>
      </c>
      <c r="G77" t="s">
        <v>6</v>
      </c>
      <c r="H77" t="s">
        <v>31</v>
      </c>
      <c r="I77" t="s">
        <v>31</v>
      </c>
      <c r="J77" s="7">
        <v>20745</v>
      </c>
      <c r="K77" s="7">
        <v>15946</v>
      </c>
      <c r="L77" s="7">
        <v>2820</v>
      </c>
      <c r="M77" s="7">
        <v>1979</v>
      </c>
      <c r="N77" s="7">
        <v>0</v>
      </c>
    </row>
    <row r="78" spans="1:14" x14ac:dyDescent="0.3">
      <c r="A78" s="4">
        <v>45337</v>
      </c>
      <c r="B78" s="3" t="s">
        <v>39</v>
      </c>
      <c r="C78" s="3" t="s">
        <v>17</v>
      </c>
      <c r="D78" t="s">
        <v>4</v>
      </c>
      <c r="E78">
        <v>239</v>
      </c>
      <c r="F78" t="s">
        <v>5</v>
      </c>
      <c r="G78" t="s">
        <v>6</v>
      </c>
      <c r="H78" t="s">
        <v>31</v>
      </c>
      <c r="I78" t="s">
        <v>31</v>
      </c>
      <c r="J78" s="7">
        <v>20506</v>
      </c>
      <c r="K78" s="7">
        <v>15946</v>
      </c>
      <c r="L78" s="7">
        <v>2820</v>
      </c>
      <c r="M78" s="7">
        <v>1740</v>
      </c>
      <c r="N78" s="7">
        <v>0</v>
      </c>
    </row>
    <row r="79" spans="1:14" x14ac:dyDescent="0.3">
      <c r="A79" s="4">
        <v>45338</v>
      </c>
      <c r="B79" s="3" t="s">
        <v>39</v>
      </c>
      <c r="C79" s="3" t="s">
        <v>23</v>
      </c>
      <c r="D79" t="s">
        <v>4</v>
      </c>
      <c r="E79">
        <v>350</v>
      </c>
      <c r="F79" t="s">
        <v>5</v>
      </c>
      <c r="G79" t="s">
        <v>6</v>
      </c>
      <c r="H79" t="s">
        <v>31</v>
      </c>
      <c r="I79" t="s">
        <v>31</v>
      </c>
      <c r="J79" s="7">
        <v>20156</v>
      </c>
      <c r="K79" s="7">
        <v>15946</v>
      </c>
      <c r="L79" s="7">
        <v>2820</v>
      </c>
      <c r="M79" s="7">
        <v>1390</v>
      </c>
      <c r="N79" s="7">
        <v>0</v>
      </c>
    </row>
    <row r="80" spans="1:14" x14ac:dyDescent="0.3">
      <c r="A80" s="4">
        <v>45339</v>
      </c>
      <c r="B80" s="3" t="s">
        <v>39</v>
      </c>
      <c r="C80" s="3" t="s">
        <v>22</v>
      </c>
      <c r="D80" t="s">
        <v>4</v>
      </c>
      <c r="E80">
        <v>190</v>
      </c>
      <c r="F80" t="s">
        <v>5</v>
      </c>
      <c r="G80" t="s">
        <v>6</v>
      </c>
      <c r="H80" t="s">
        <v>31</v>
      </c>
      <c r="I80" t="s">
        <v>31</v>
      </c>
      <c r="J80" s="7">
        <v>19966</v>
      </c>
      <c r="K80" s="7">
        <v>15946</v>
      </c>
      <c r="L80" s="7">
        <v>2820</v>
      </c>
      <c r="M80" s="7">
        <v>1200</v>
      </c>
      <c r="N80" s="7">
        <v>0</v>
      </c>
    </row>
    <row r="81" spans="1:14" x14ac:dyDescent="0.3">
      <c r="A81" s="4">
        <v>45340</v>
      </c>
      <c r="B81" s="3" t="s">
        <v>39</v>
      </c>
      <c r="C81" s="3" t="s">
        <v>21</v>
      </c>
      <c r="D81" t="s">
        <v>4</v>
      </c>
      <c r="E81">
        <v>185</v>
      </c>
      <c r="F81" t="s">
        <v>5</v>
      </c>
      <c r="G81" t="s">
        <v>6</v>
      </c>
      <c r="H81" t="s">
        <v>31</v>
      </c>
      <c r="I81" t="s">
        <v>31</v>
      </c>
      <c r="J81" s="7">
        <v>19781</v>
      </c>
      <c r="K81" s="7">
        <v>15946</v>
      </c>
      <c r="L81" s="7">
        <v>2820</v>
      </c>
      <c r="M81" s="7">
        <v>1015</v>
      </c>
      <c r="N81" s="7">
        <v>0</v>
      </c>
    </row>
    <row r="82" spans="1:14" x14ac:dyDescent="0.3">
      <c r="A82" s="4">
        <v>45341</v>
      </c>
      <c r="B82" s="3" t="s">
        <v>39</v>
      </c>
      <c r="C82" s="3" t="s">
        <v>20</v>
      </c>
      <c r="D82" t="s">
        <v>4</v>
      </c>
      <c r="E82">
        <v>290</v>
      </c>
      <c r="F82" t="s">
        <v>5</v>
      </c>
      <c r="G82" t="s">
        <v>6</v>
      </c>
      <c r="H82" t="s">
        <v>31</v>
      </c>
      <c r="I82" t="s">
        <v>31</v>
      </c>
      <c r="J82" s="7">
        <v>19491</v>
      </c>
      <c r="K82" s="7">
        <v>15946</v>
      </c>
      <c r="L82" s="7">
        <v>2820</v>
      </c>
      <c r="M82" s="7">
        <v>725</v>
      </c>
      <c r="N82" s="7">
        <v>0</v>
      </c>
    </row>
    <row r="83" spans="1:14" x14ac:dyDescent="0.3">
      <c r="A83" s="4">
        <v>45341</v>
      </c>
      <c r="B83" s="3" t="s">
        <v>39</v>
      </c>
      <c r="C83" s="3" t="s">
        <v>20</v>
      </c>
      <c r="D83" t="s">
        <v>13</v>
      </c>
      <c r="E83">
        <v>947</v>
      </c>
      <c r="F83" t="s">
        <v>5</v>
      </c>
      <c r="G83" t="s">
        <v>8</v>
      </c>
      <c r="H83" t="s">
        <v>31</v>
      </c>
      <c r="I83" t="s">
        <v>31</v>
      </c>
      <c r="J83" s="7">
        <v>18544</v>
      </c>
      <c r="K83" s="7">
        <v>14999</v>
      </c>
      <c r="L83" s="7">
        <v>2820</v>
      </c>
      <c r="M83" s="7">
        <v>725</v>
      </c>
      <c r="N83" s="7">
        <v>0</v>
      </c>
    </row>
    <row r="84" spans="1:14" x14ac:dyDescent="0.3">
      <c r="A84" s="4">
        <v>45342</v>
      </c>
      <c r="B84" s="3" t="s">
        <v>39</v>
      </c>
      <c r="C84" s="3" t="s">
        <v>19</v>
      </c>
      <c r="D84" t="s">
        <v>4</v>
      </c>
      <c r="E84">
        <v>140</v>
      </c>
      <c r="F84" t="s">
        <v>5</v>
      </c>
      <c r="G84" t="s">
        <v>6</v>
      </c>
      <c r="H84" t="s">
        <v>31</v>
      </c>
      <c r="I84" t="s">
        <v>31</v>
      </c>
      <c r="J84" s="7">
        <v>18404</v>
      </c>
      <c r="K84" s="7">
        <v>14999</v>
      </c>
      <c r="L84" s="7">
        <v>2820</v>
      </c>
      <c r="M84" s="7">
        <v>585</v>
      </c>
      <c r="N84" s="7">
        <v>0</v>
      </c>
    </row>
    <row r="85" spans="1:14" x14ac:dyDescent="0.3">
      <c r="A85" s="4">
        <v>45343</v>
      </c>
      <c r="B85" s="3" t="s">
        <v>39</v>
      </c>
      <c r="C85" s="3" t="s">
        <v>18</v>
      </c>
      <c r="D85" t="s">
        <v>4</v>
      </c>
      <c r="E85">
        <v>190</v>
      </c>
      <c r="F85" t="s">
        <v>5</v>
      </c>
      <c r="G85" t="s">
        <v>6</v>
      </c>
      <c r="H85" t="s">
        <v>31</v>
      </c>
      <c r="I85" t="s">
        <v>31</v>
      </c>
      <c r="J85" s="7">
        <v>18214</v>
      </c>
      <c r="K85" s="7">
        <v>14999</v>
      </c>
      <c r="L85" s="7">
        <v>2820</v>
      </c>
      <c r="M85" s="7">
        <v>395</v>
      </c>
      <c r="N85" s="7">
        <v>0</v>
      </c>
    </row>
    <row r="86" spans="1:14" x14ac:dyDescent="0.3">
      <c r="A86" s="4">
        <v>45344</v>
      </c>
      <c r="B86" s="3" t="s">
        <v>39</v>
      </c>
      <c r="C86" s="3" t="s">
        <v>17</v>
      </c>
      <c r="D86" t="s">
        <v>4</v>
      </c>
      <c r="E86">
        <v>170</v>
      </c>
      <c r="F86" t="s">
        <v>5</v>
      </c>
      <c r="G86" t="s">
        <v>6</v>
      </c>
      <c r="H86" t="s">
        <v>31</v>
      </c>
      <c r="I86" t="s">
        <v>31</v>
      </c>
      <c r="J86" s="7">
        <v>18044</v>
      </c>
      <c r="K86" s="7">
        <v>14999</v>
      </c>
      <c r="L86" s="7">
        <v>2820</v>
      </c>
      <c r="M86" s="7">
        <v>225</v>
      </c>
      <c r="N86" s="7">
        <v>0</v>
      </c>
    </row>
    <row r="87" spans="1:14" x14ac:dyDescent="0.3">
      <c r="A87" s="4">
        <v>45345</v>
      </c>
      <c r="B87" s="3" t="s">
        <v>39</v>
      </c>
      <c r="C87" s="3" t="s">
        <v>23</v>
      </c>
      <c r="D87" t="s">
        <v>4</v>
      </c>
      <c r="E87">
        <v>40</v>
      </c>
      <c r="F87" t="s">
        <v>5</v>
      </c>
      <c r="G87" t="s">
        <v>12</v>
      </c>
      <c r="H87" t="s">
        <v>31</v>
      </c>
      <c r="I87" t="s">
        <v>31</v>
      </c>
      <c r="J87" s="7">
        <v>18004</v>
      </c>
      <c r="K87" s="7">
        <v>14999</v>
      </c>
      <c r="L87" s="7">
        <v>2780</v>
      </c>
      <c r="M87" s="7">
        <v>225</v>
      </c>
      <c r="N87" s="7">
        <v>0</v>
      </c>
    </row>
    <row r="88" spans="1:14" x14ac:dyDescent="0.3">
      <c r="A88" s="4">
        <v>45345</v>
      </c>
      <c r="B88" s="3" t="s">
        <v>39</v>
      </c>
      <c r="C88" s="3" t="s">
        <v>23</v>
      </c>
      <c r="D88" t="s">
        <v>4</v>
      </c>
      <c r="E88">
        <v>90</v>
      </c>
      <c r="F88" t="s">
        <v>5</v>
      </c>
      <c r="G88" t="s">
        <v>6</v>
      </c>
      <c r="H88" t="s">
        <v>31</v>
      </c>
      <c r="I88" t="s">
        <v>31</v>
      </c>
      <c r="J88" s="7">
        <v>17914</v>
      </c>
      <c r="K88" s="7">
        <v>14999</v>
      </c>
      <c r="L88" s="7">
        <v>2780</v>
      </c>
      <c r="M88" s="7">
        <v>135</v>
      </c>
      <c r="N88" s="7">
        <v>0</v>
      </c>
    </row>
    <row r="89" spans="1:14" x14ac:dyDescent="0.3">
      <c r="A89" s="4">
        <v>45345</v>
      </c>
      <c r="B89" s="3" t="s">
        <v>39</v>
      </c>
      <c r="C89" s="3" t="s">
        <v>23</v>
      </c>
      <c r="D89" t="s">
        <v>7</v>
      </c>
      <c r="E89">
        <v>1935</v>
      </c>
      <c r="F89" t="s">
        <v>7</v>
      </c>
      <c r="G89" t="s">
        <v>8</v>
      </c>
      <c r="H89" t="s">
        <v>6</v>
      </c>
      <c r="I89" t="s">
        <v>31</v>
      </c>
      <c r="J89" s="7">
        <v>17914</v>
      </c>
      <c r="K89" s="7">
        <v>13064</v>
      </c>
      <c r="L89" s="7">
        <v>2780</v>
      </c>
      <c r="M89" s="7">
        <v>2070</v>
      </c>
      <c r="N89" s="7">
        <v>0</v>
      </c>
    </row>
    <row r="90" spans="1:14" x14ac:dyDescent="0.3">
      <c r="A90" s="4">
        <v>45346</v>
      </c>
      <c r="B90" s="3" t="s">
        <v>39</v>
      </c>
      <c r="C90" s="3" t="s">
        <v>22</v>
      </c>
      <c r="D90" t="s">
        <v>4</v>
      </c>
      <c r="E90">
        <v>240</v>
      </c>
      <c r="F90" t="s">
        <v>5</v>
      </c>
      <c r="G90" t="s">
        <v>6</v>
      </c>
      <c r="H90" t="s">
        <v>31</v>
      </c>
      <c r="I90" t="s">
        <v>31</v>
      </c>
      <c r="J90" s="7">
        <v>17674</v>
      </c>
      <c r="K90" s="7">
        <v>13064</v>
      </c>
      <c r="L90" s="7">
        <v>2780</v>
      </c>
      <c r="M90" s="7">
        <v>1830</v>
      </c>
      <c r="N90" s="7">
        <v>0</v>
      </c>
    </row>
    <row r="91" spans="1:14" x14ac:dyDescent="0.3">
      <c r="A91" s="4">
        <v>45346</v>
      </c>
      <c r="B91" s="3" t="s">
        <v>39</v>
      </c>
      <c r="C91" s="3" t="s">
        <v>22</v>
      </c>
      <c r="D91" t="s">
        <v>30</v>
      </c>
      <c r="E91">
        <v>250</v>
      </c>
      <c r="F91" t="s">
        <v>11</v>
      </c>
      <c r="G91" t="s">
        <v>12</v>
      </c>
      <c r="H91" t="s">
        <v>31</v>
      </c>
      <c r="I91" t="s">
        <v>31</v>
      </c>
      <c r="J91" s="7">
        <v>17924</v>
      </c>
      <c r="K91" s="7">
        <v>13064</v>
      </c>
      <c r="L91" s="7">
        <v>3030</v>
      </c>
      <c r="M91" s="7">
        <v>1830</v>
      </c>
      <c r="N91" s="7">
        <v>0</v>
      </c>
    </row>
    <row r="92" spans="1:14" x14ac:dyDescent="0.3">
      <c r="A92" s="4">
        <v>45347</v>
      </c>
      <c r="B92" s="3" t="s">
        <v>39</v>
      </c>
      <c r="C92" s="3" t="s">
        <v>21</v>
      </c>
      <c r="D92" t="s">
        <v>4</v>
      </c>
      <c r="E92">
        <v>220</v>
      </c>
      <c r="F92" t="s">
        <v>5</v>
      </c>
      <c r="G92" t="s">
        <v>6</v>
      </c>
      <c r="H92" t="s">
        <v>31</v>
      </c>
      <c r="I92" t="s">
        <v>31</v>
      </c>
      <c r="J92" s="7">
        <v>17704</v>
      </c>
      <c r="K92" s="7">
        <v>13064</v>
      </c>
      <c r="L92" s="7">
        <v>3030</v>
      </c>
      <c r="M92" s="7">
        <v>1610</v>
      </c>
      <c r="N92" s="7">
        <v>0</v>
      </c>
    </row>
    <row r="93" spans="1:14" x14ac:dyDescent="0.3">
      <c r="A93" s="4">
        <v>45347</v>
      </c>
      <c r="B93" s="3" t="s">
        <v>39</v>
      </c>
      <c r="C93" s="3" t="s">
        <v>21</v>
      </c>
      <c r="D93" t="s">
        <v>30</v>
      </c>
      <c r="E93">
        <v>24777</v>
      </c>
      <c r="F93" t="s">
        <v>11</v>
      </c>
      <c r="G93" t="s">
        <v>8</v>
      </c>
      <c r="H93" t="s">
        <v>31</v>
      </c>
      <c r="I93" t="s">
        <v>31</v>
      </c>
      <c r="J93" s="7">
        <v>42481</v>
      </c>
      <c r="K93" s="7">
        <v>37841</v>
      </c>
      <c r="L93" s="7">
        <v>3030</v>
      </c>
      <c r="M93" s="7">
        <v>1610</v>
      </c>
      <c r="N93" s="7">
        <v>0</v>
      </c>
    </row>
    <row r="94" spans="1:14" x14ac:dyDescent="0.3">
      <c r="A94" s="4">
        <v>45348</v>
      </c>
      <c r="B94" s="3" t="s">
        <v>39</v>
      </c>
      <c r="C94" s="3" t="s">
        <v>20</v>
      </c>
      <c r="D94" t="s">
        <v>4</v>
      </c>
      <c r="E94">
        <v>230</v>
      </c>
      <c r="F94" t="s">
        <v>5</v>
      </c>
      <c r="G94" t="s">
        <v>6</v>
      </c>
      <c r="H94" t="s">
        <v>31</v>
      </c>
      <c r="I94" t="s">
        <v>31</v>
      </c>
      <c r="J94" s="7">
        <v>42251</v>
      </c>
      <c r="K94" s="7">
        <v>37841</v>
      </c>
      <c r="L94" s="7">
        <v>3030</v>
      </c>
      <c r="M94" s="7">
        <v>1380</v>
      </c>
      <c r="N94" s="7">
        <v>0</v>
      </c>
    </row>
    <row r="95" spans="1:14" x14ac:dyDescent="0.3">
      <c r="A95" s="4">
        <v>45349</v>
      </c>
      <c r="B95" s="3" t="s">
        <v>39</v>
      </c>
      <c r="C95" s="3" t="s">
        <v>19</v>
      </c>
      <c r="D95" t="s">
        <v>7</v>
      </c>
      <c r="E95">
        <v>80</v>
      </c>
      <c r="F95" t="s">
        <v>7</v>
      </c>
      <c r="G95" t="s">
        <v>6</v>
      </c>
      <c r="H95" t="s">
        <v>12</v>
      </c>
      <c r="I95" t="s">
        <v>31</v>
      </c>
      <c r="J95" s="7">
        <v>42251</v>
      </c>
      <c r="K95" s="7">
        <v>37841</v>
      </c>
      <c r="L95" s="7">
        <v>3110</v>
      </c>
      <c r="M95" s="7">
        <v>1300</v>
      </c>
      <c r="N95" s="7">
        <v>0</v>
      </c>
    </row>
    <row r="96" spans="1:14" x14ac:dyDescent="0.3">
      <c r="A96" s="4">
        <v>45349</v>
      </c>
      <c r="B96" s="3" t="s">
        <v>39</v>
      </c>
      <c r="C96" s="3" t="s">
        <v>19</v>
      </c>
      <c r="D96" t="s">
        <v>4</v>
      </c>
      <c r="E96">
        <v>184</v>
      </c>
      <c r="F96" t="s">
        <v>5</v>
      </c>
      <c r="G96" t="s">
        <v>6</v>
      </c>
      <c r="H96" t="s">
        <v>31</v>
      </c>
      <c r="I96" t="s">
        <v>31</v>
      </c>
      <c r="J96" s="7">
        <v>42067</v>
      </c>
      <c r="K96" s="7">
        <v>37841</v>
      </c>
      <c r="L96" s="7">
        <v>3110</v>
      </c>
      <c r="M96" s="7">
        <v>1116</v>
      </c>
      <c r="N96" s="7">
        <v>0</v>
      </c>
    </row>
    <row r="97" spans="1:14" x14ac:dyDescent="0.3">
      <c r="A97" s="4">
        <v>45350</v>
      </c>
      <c r="B97" s="3" t="s">
        <v>39</v>
      </c>
      <c r="C97" s="3" t="s">
        <v>18</v>
      </c>
      <c r="D97" t="s">
        <v>4</v>
      </c>
      <c r="E97">
        <v>274</v>
      </c>
      <c r="F97" t="s">
        <v>5</v>
      </c>
      <c r="G97" t="s">
        <v>6</v>
      </c>
      <c r="H97" t="s">
        <v>31</v>
      </c>
      <c r="I97" t="s">
        <v>31</v>
      </c>
      <c r="J97" s="7">
        <v>41793</v>
      </c>
      <c r="K97" s="7">
        <v>37841</v>
      </c>
      <c r="L97" s="7">
        <v>3110</v>
      </c>
      <c r="M97" s="7">
        <v>842</v>
      </c>
      <c r="N97" s="7">
        <v>0</v>
      </c>
    </row>
    <row r="98" spans="1:14" x14ac:dyDescent="0.3">
      <c r="A98" s="4">
        <v>45351</v>
      </c>
      <c r="B98" s="3" t="s">
        <v>39</v>
      </c>
      <c r="C98" s="3" t="s">
        <v>17</v>
      </c>
      <c r="D98" t="s">
        <v>4</v>
      </c>
      <c r="E98">
        <v>192</v>
      </c>
      <c r="F98" t="s">
        <v>5</v>
      </c>
      <c r="G98" t="s">
        <v>8</v>
      </c>
      <c r="H98" t="s">
        <v>31</v>
      </c>
      <c r="I98" t="s">
        <v>31</v>
      </c>
      <c r="J98" s="7">
        <v>41601</v>
      </c>
      <c r="K98" s="7">
        <v>37649</v>
      </c>
      <c r="L98" s="7">
        <v>3110</v>
      </c>
      <c r="M98" s="7">
        <v>842</v>
      </c>
      <c r="N98" s="7">
        <v>0</v>
      </c>
    </row>
    <row r="99" spans="1:14" x14ac:dyDescent="0.3">
      <c r="A99" s="4">
        <v>45351</v>
      </c>
      <c r="B99" s="3" t="s">
        <v>39</v>
      </c>
      <c r="C99" s="3" t="s">
        <v>17</v>
      </c>
      <c r="D99" t="s">
        <v>4</v>
      </c>
      <c r="E99">
        <v>60</v>
      </c>
      <c r="F99" t="s">
        <v>5</v>
      </c>
      <c r="G99" t="s">
        <v>6</v>
      </c>
      <c r="H99" t="s">
        <v>31</v>
      </c>
      <c r="I99" t="s">
        <v>31</v>
      </c>
      <c r="J99" s="7">
        <v>41541</v>
      </c>
      <c r="K99" s="7">
        <v>37649</v>
      </c>
      <c r="L99" s="7">
        <v>3110</v>
      </c>
      <c r="M99" s="7">
        <v>782</v>
      </c>
      <c r="N99" s="7">
        <v>0</v>
      </c>
    </row>
    <row r="100" spans="1:14" x14ac:dyDescent="0.3">
      <c r="A100" s="4">
        <v>45352</v>
      </c>
      <c r="B100" s="3" t="s">
        <v>24</v>
      </c>
      <c r="C100" s="3" t="s">
        <v>23</v>
      </c>
      <c r="D100" t="s">
        <v>4</v>
      </c>
      <c r="E100">
        <v>241</v>
      </c>
      <c r="F100" t="s">
        <v>5</v>
      </c>
      <c r="G100" t="s">
        <v>6</v>
      </c>
      <c r="H100" t="s">
        <v>31</v>
      </c>
      <c r="I100" t="s">
        <v>31</v>
      </c>
      <c r="J100" s="7">
        <v>41300</v>
      </c>
      <c r="K100" s="7">
        <v>37649</v>
      </c>
      <c r="L100" s="7">
        <v>3110</v>
      </c>
      <c r="M100" s="7">
        <v>541</v>
      </c>
      <c r="N100" s="7">
        <v>0</v>
      </c>
    </row>
    <row r="101" spans="1:14" x14ac:dyDescent="0.3">
      <c r="A101" s="4">
        <v>45353</v>
      </c>
      <c r="B101" s="3" t="s">
        <v>24</v>
      </c>
      <c r="C101" s="3" t="s">
        <v>22</v>
      </c>
      <c r="D101" t="s">
        <v>4</v>
      </c>
      <c r="E101">
        <v>160</v>
      </c>
      <c r="F101" t="s">
        <v>5</v>
      </c>
      <c r="G101" t="s">
        <v>6</v>
      </c>
      <c r="H101" t="s">
        <v>31</v>
      </c>
      <c r="I101" t="s">
        <v>31</v>
      </c>
      <c r="J101" s="7">
        <v>41140</v>
      </c>
      <c r="K101" s="7">
        <v>37649</v>
      </c>
      <c r="L101" s="7">
        <v>3110</v>
      </c>
      <c r="M101" s="7">
        <v>381</v>
      </c>
      <c r="N101" s="7">
        <v>0</v>
      </c>
    </row>
    <row r="102" spans="1:14" x14ac:dyDescent="0.3">
      <c r="A102" s="4">
        <v>45354</v>
      </c>
      <c r="B102" s="3" t="s">
        <v>24</v>
      </c>
      <c r="C102" s="3" t="s">
        <v>21</v>
      </c>
      <c r="D102" t="s">
        <v>15</v>
      </c>
      <c r="E102">
        <v>1099</v>
      </c>
      <c r="F102" t="s">
        <v>5</v>
      </c>
      <c r="G102" t="s">
        <v>8</v>
      </c>
      <c r="H102" t="s">
        <v>31</v>
      </c>
      <c r="I102" t="s">
        <v>44</v>
      </c>
      <c r="J102" s="7">
        <v>40041</v>
      </c>
      <c r="K102" s="7">
        <v>36550</v>
      </c>
      <c r="L102" s="7">
        <v>3110</v>
      </c>
      <c r="M102" s="7">
        <v>381</v>
      </c>
      <c r="N102" s="7">
        <v>0</v>
      </c>
    </row>
    <row r="103" spans="1:14" x14ac:dyDescent="0.3">
      <c r="A103" s="4">
        <v>45354</v>
      </c>
      <c r="B103" s="3" t="s">
        <v>24</v>
      </c>
      <c r="C103" s="3" t="s">
        <v>21</v>
      </c>
      <c r="D103" t="s">
        <v>4</v>
      </c>
      <c r="E103">
        <v>252</v>
      </c>
      <c r="F103" t="s">
        <v>5</v>
      </c>
      <c r="G103" t="s">
        <v>6</v>
      </c>
      <c r="H103" t="s">
        <v>31</v>
      </c>
      <c r="I103" t="s">
        <v>31</v>
      </c>
      <c r="J103" s="7">
        <v>39789</v>
      </c>
      <c r="K103" s="7">
        <v>36550</v>
      </c>
      <c r="L103" s="7">
        <v>3110</v>
      </c>
      <c r="M103" s="7">
        <v>129</v>
      </c>
      <c r="N103" s="7">
        <v>0</v>
      </c>
    </row>
    <row r="104" spans="1:14" x14ac:dyDescent="0.3">
      <c r="A104" s="4">
        <v>45354</v>
      </c>
      <c r="B104" s="3" t="s">
        <v>24</v>
      </c>
      <c r="C104" s="3" t="s">
        <v>21</v>
      </c>
      <c r="D104" t="s">
        <v>7</v>
      </c>
      <c r="E104">
        <v>1849</v>
      </c>
      <c r="F104" t="s">
        <v>7</v>
      </c>
      <c r="G104" t="s">
        <v>8</v>
      </c>
      <c r="H104" t="s">
        <v>6</v>
      </c>
      <c r="I104" t="s">
        <v>31</v>
      </c>
      <c r="J104" s="7">
        <v>39789</v>
      </c>
      <c r="K104" s="7">
        <v>34701</v>
      </c>
      <c r="L104" s="7">
        <v>3110</v>
      </c>
      <c r="M104" s="7">
        <v>1978</v>
      </c>
      <c r="N104" s="7">
        <v>0</v>
      </c>
    </row>
    <row r="105" spans="1:14" x14ac:dyDescent="0.3">
      <c r="A105" s="4">
        <v>45354</v>
      </c>
      <c r="B105" s="3" t="s">
        <v>24</v>
      </c>
      <c r="C105" s="3" t="s">
        <v>21</v>
      </c>
      <c r="D105" t="s">
        <v>9</v>
      </c>
      <c r="E105">
        <v>10</v>
      </c>
      <c r="F105" t="s">
        <v>5</v>
      </c>
      <c r="G105" t="s">
        <v>6</v>
      </c>
      <c r="H105" t="s">
        <v>31</v>
      </c>
      <c r="I105" t="s">
        <v>45</v>
      </c>
      <c r="J105" s="7">
        <v>39779</v>
      </c>
      <c r="K105" s="7">
        <v>34701</v>
      </c>
      <c r="L105" s="7">
        <v>3110</v>
      </c>
      <c r="M105" s="7">
        <v>1968</v>
      </c>
      <c r="N105" s="7">
        <v>0</v>
      </c>
    </row>
    <row r="106" spans="1:14" x14ac:dyDescent="0.3">
      <c r="A106" s="4">
        <v>45354</v>
      </c>
      <c r="B106" s="3" t="s">
        <v>24</v>
      </c>
      <c r="C106" s="3" t="s">
        <v>21</v>
      </c>
      <c r="D106" t="s">
        <v>10</v>
      </c>
      <c r="E106">
        <v>11</v>
      </c>
      <c r="F106" t="s">
        <v>11</v>
      </c>
      <c r="G106" t="s">
        <v>12</v>
      </c>
      <c r="H106" t="s">
        <v>31</v>
      </c>
      <c r="I106" t="s">
        <v>31</v>
      </c>
      <c r="J106" s="7">
        <v>39790</v>
      </c>
      <c r="K106" s="7">
        <v>34701</v>
      </c>
      <c r="L106" s="7">
        <v>3121</v>
      </c>
      <c r="M106" s="7">
        <v>1968</v>
      </c>
      <c r="N106" s="7">
        <v>0</v>
      </c>
    </row>
    <row r="107" spans="1:14" x14ac:dyDescent="0.3">
      <c r="A107" s="4">
        <v>45354</v>
      </c>
      <c r="B107" s="3" t="s">
        <v>24</v>
      </c>
      <c r="C107" s="3" t="s">
        <v>21</v>
      </c>
      <c r="D107" t="s">
        <v>16</v>
      </c>
      <c r="E107">
        <v>210</v>
      </c>
      <c r="F107" t="s">
        <v>5</v>
      </c>
      <c r="G107" t="s">
        <v>6</v>
      </c>
      <c r="H107" t="s">
        <v>31</v>
      </c>
      <c r="I107" t="s">
        <v>46</v>
      </c>
      <c r="J107" s="7">
        <v>39580</v>
      </c>
      <c r="K107" s="7">
        <v>34701</v>
      </c>
      <c r="L107" s="7">
        <v>3121</v>
      </c>
      <c r="M107" s="7">
        <v>1758</v>
      </c>
      <c r="N107" s="7">
        <v>0</v>
      </c>
    </row>
    <row r="108" spans="1:14" x14ac:dyDescent="0.3">
      <c r="A108" s="4">
        <v>45354</v>
      </c>
      <c r="B108" s="3" t="s">
        <v>24</v>
      </c>
      <c r="C108" s="3" t="s">
        <v>21</v>
      </c>
      <c r="D108" t="s">
        <v>7</v>
      </c>
      <c r="E108">
        <v>22500</v>
      </c>
      <c r="F108" t="s">
        <v>7</v>
      </c>
      <c r="G108" t="s">
        <v>8</v>
      </c>
      <c r="H108" t="s">
        <v>12</v>
      </c>
      <c r="I108" t="s">
        <v>31</v>
      </c>
      <c r="J108" s="7">
        <v>39580</v>
      </c>
      <c r="K108" s="7">
        <v>12201</v>
      </c>
      <c r="L108" s="7">
        <v>25621</v>
      </c>
      <c r="M108" s="7">
        <v>1758</v>
      </c>
      <c r="N108" s="7">
        <v>0</v>
      </c>
    </row>
    <row r="109" spans="1:14" x14ac:dyDescent="0.3">
      <c r="A109" s="4">
        <v>45355</v>
      </c>
      <c r="B109" s="3" t="s">
        <v>24</v>
      </c>
      <c r="C109" s="3" t="s">
        <v>20</v>
      </c>
      <c r="D109" t="s">
        <v>4</v>
      </c>
      <c r="E109">
        <v>174</v>
      </c>
      <c r="F109" t="s">
        <v>5</v>
      </c>
      <c r="G109" t="s">
        <v>6</v>
      </c>
      <c r="H109" t="s">
        <v>31</v>
      </c>
      <c r="I109" t="s">
        <v>31</v>
      </c>
      <c r="J109" s="7">
        <v>39406</v>
      </c>
      <c r="K109" s="7">
        <v>12201</v>
      </c>
      <c r="L109" s="7">
        <v>25621</v>
      </c>
      <c r="M109" s="7">
        <v>1584</v>
      </c>
      <c r="N109" s="7">
        <v>0</v>
      </c>
    </row>
    <row r="110" spans="1:14" x14ac:dyDescent="0.3">
      <c r="A110" s="4">
        <v>45356</v>
      </c>
      <c r="B110" s="3" t="s">
        <v>24</v>
      </c>
      <c r="C110" s="3" t="s">
        <v>19</v>
      </c>
      <c r="D110" t="s">
        <v>15</v>
      </c>
      <c r="E110">
        <v>20</v>
      </c>
      <c r="F110" t="s">
        <v>5</v>
      </c>
      <c r="G110" t="s">
        <v>6</v>
      </c>
      <c r="H110" t="s">
        <v>31</v>
      </c>
      <c r="I110" t="s">
        <v>47</v>
      </c>
      <c r="J110" s="7">
        <v>39386</v>
      </c>
      <c r="K110" s="7">
        <v>12201</v>
      </c>
      <c r="L110" s="7">
        <v>25621</v>
      </c>
      <c r="M110" s="7">
        <v>1564</v>
      </c>
      <c r="N110" s="7">
        <v>0</v>
      </c>
    </row>
    <row r="111" spans="1:14" x14ac:dyDescent="0.3">
      <c r="A111" s="4">
        <v>45356</v>
      </c>
      <c r="B111" s="3" t="s">
        <v>24</v>
      </c>
      <c r="C111" s="3" t="s">
        <v>19</v>
      </c>
      <c r="D111" t="s">
        <v>4</v>
      </c>
      <c r="E111">
        <v>200</v>
      </c>
      <c r="F111" t="s">
        <v>5</v>
      </c>
      <c r="G111" t="s">
        <v>6</v>
      </c>
      <c r="H111" t="s">
        <v>31</v>
      </c>
      <c r="I111" t="s">
        <v>31</v>
      </c>
      <c r="J111" s="7">
        <v>39186</v>
      </c>
      <c r="K111" s="7">
        <v>12201</v>
      </c>
      <c r="L111" s="7">
        <v>25621</v>
      </c>
      <c r="M111" s="7">
        <v>1364</v>
      </c>
      <c r="N111" s="7">
        <v>0</v>
      </c>
    </row>
    <row r="112" spans="1:14" x14ac:dyDescent="0.3">
      <c r="A112" s="4">
        <v>45356</v>
      </c>
      <c r="B112" s="3" t="s">
        <v>24</v>
      </c>
      <c r="C112" s="3" t="s">
        <v>19</v>
      </c>
      <c r="D112" t="s">
        <v>9</v>
      </c>
      <c r="E112">
        <v>340</v>
      </c>
      <c r="F112" t="s">
        <v>5</v>
      </c>
      <c r="G112" t="s">
        <v>6</v>
      </c>
      <c r="H112" t="s">
        <v>31</v>
      </c>
      <c r="I112" t="s">
        <v>48</v>
      </c>
      <c r="J112" s="7">
        <v>38846</v>
      </c>
      <c r="K112" s="7">
        <v>12201</v>
      </c>
      <c r="L112" s="7">
        <v>25621</v>
      </c>
      <c r="M112" s="7">
        <v>1024</v>
      </c>
      <c r="N112" s="7">
        <v>0</v>
      </c>
    </row>
    <row r="113" spans="1:14" x14ac:dyDescent="0.3">
      <c r="A113" s="4">
        <v>45357</v>
      </c>
      <c r="B113" s="3" t="s">
        <v>24</v>
      </c>
      <c r="C113" s="3" t="s">
        <v>18</v>
      </c>
      <c r="D113" t="s">
        <v>4</v>
      </c>
      <c r="E113">
        <v>130</v>
      </c>
      <c r="F113" t="s">
        <v>5</v>
      </c>
      <c r="G113" t="s">
        <v>6</v>
      </c>
      <c r="H113" t="s">
        <v>31</v>
      </c>
      <c r="I113" t="s">
        <v>31</v>
      </c>
      <c r="J113" s="7">
        <v>38716</v>
      </c>
      <c r="K113" s="7">
        <v>12201</v>
      </c>
      <c r="L113" s="7">
        <v>25621</v>
      </c>
      <c r="M113" s="7">
        <v>894</v>
      </c>
      <c r="N113" s="7">
        <v>0</v>
      </c>
    </row>
    <row r="114" spans="1:14" x14ac:dyDescent="0.3">
      <c r="A114" s="4">
        <v>45358</v>
      </c>
      <c r="B114" s="3" t="s">
        <v>24</v>
      </c>
      <c r="C114" s="3" t="s">
        <v>17</v>
      </c>
      <c r="D114" t="s">
        <v>4</v>
      </c>
      <c r="E114">
        <v>90</v>
      </c>
      <c r="F114" t="s">
        <v>5</v>
      </c>
      <c r="G114" t="s">
        <v>6</v>
      </c>
      <c r="H114" t="s">
        <v>31</v>
      </c>
      <c r="I114" t="s">
        <v>31</v>
      </c>
      <c r="J114" s="7">
        <v>38626</v>
      </c>
      <c r="K114" s="7">
        <v>12201</v>
      </c>
      <c r="L114" s="7">
        <v>25621</v>
      </c>
      <c r="M114" s="7">
        <v>804</v>
      </c>
      <c r="N114" s="7">
        <v>0</v>
      </c>
    </row>
    <row r="115" spans="1:14" x14ac:dyDescent="0.3">
      <c r="A115" s="4">
        <v>45359</v>
      </c>
      <c r="B115" s="3" t="s">
        <v>24</v>
      </c>
      <c r="C115" s="3" t="s">
        <v>23</v>
      </c>
      <c r="D115" t="s">
        <v>4</v>
      </c>
      <c r="E115">
        <v>474</v>
      </c>
      <c r="F115" t="s">
        <v>5</v>
      </c>
      <c r="G115" t="s">
        <v>6</v>
      </c>
      <c r="H115" t="s">
        <v>31</v>
      </c>
      <c r="I115" t="s">
        <v>31</v>
      </c>
      <c r="J115" s="7">
        <v>38152</v>
      </c>
      <c r="K115" s="7">
        <v>12201</v>
      </c>
      <c r="L115" s="7">
        <v>25621</v>
      </c>
      <c r="M115" s="7">
        <v>330</v>
      </c>
      <c r="N115" s="7">
        <v>0</v>
      </c>
    </row>
    <row r="116" spans="1:14" x14ac:dyDescent="0.3">
      <c r="A116" s="4">
        <v>45359</v>
      </c>
      <c r="B116" s="3" t="s">
        <v>24</v>
      </c>
      <c r="C116" s="3" t="s">
        <v>23</v>
      </c>
      <c r="D116" t="s">
        <v>14</v>
      </c>
      <c r="E116">
        <v>3500</v>
      </c>
      <c r="F116" t="s">
        <v>5</v>
      </c>
      <c r="G116" t="s">
        <v>8</v>
      </c>
      <c r="H116" t="s">
        <v>31</v>
      </c>
      <c r="I116" t="s">
        <v>31</v>
      </c>
      <c r="J116" s="7">
        <v>34652</v>
      </c>
      <c r="K116" s="7">
        <v>8701</v>
      </c>
      <c r="L116" s="7">
        <v>25621</v>
      </c>
      <c r="M116" s="7">
        <v>330</v>
      </c>
      <c r="N116" s="7">
        <v>0</v>
      </c>
    </row>
    <row r="117" spans="1:14" x14ac:dyDescent="0.3">
      <c r="A117" s="4">
        <v>45360</v>
      </c>
      <c r="B117" s="3" t="s">
        <v>24</v>
      </c>
      <c r="C117" s="3" t="s">
        <v>22</v>
      </c>
      <c r="D117" t="s">
        <v>4</v>
      </c>
      <c r="E117">
        <v>170</v>
      </c>
      <c r="F117" t="s">
        <v>5</v>
      </c>
      <c r="G117" t="s">
        <v>6</v>
      </c>
      <c r="H117" t="s">
        <v>31</v>
      </c>
      <c r="I117" t="s">
        <v>31</v>
      </c>
      <c r="J117" s="7">
        <v>34482</v>
      </c>
      <c r="K117" s="7">
        <v>8701</v>
      </c>
      <c r="L117" s="7">
        <v>25621</v>
      </c>
      <c r="M117" s="7">
        <v>160</v>
      </c>
      <c r="N117" s="7">
        <v>0</v>
      </c>
    </row>
    <row r="118" spans="1:14" x14ac:dyDescent="0.3">
      <c r="A118" s="4">
        <v>45361</v>
      </c>
      <c r="B118" s="3" t="s">
        <v>24</v>
      </c>
      <c r="C118" s="3" t="s">
        <v>21</v>
      </c>
      <c r="D118" t="s">
        <v>4</v>
      </c>
      <c r="E118">
        <v>194</v>
      </c>
      <c r="F118" t="s">
        <v>5</v>
      </c>
      <c r="G118" t="s">
        <v>6</v>
      </c>
      <c r="H118" t="s">
        <v>31</v>
      </c>
      <c r="I118" t="s">
        <v>31</v>
      </c>
      <c r="J118" s="7">
        <v>34288</v>
      </c>
      <c r="K118" s="7">
        <v>8701</v>
      </c>
      <c r="L118" s="7">
        <v>25621</v>
      </c>
      <c r="M118" s="7">
        <v>-34</v>
      </c>
      <c r="N118" s="7">
        <v>0</v>
      </c>
    </row>
    <row r="119" spans="1:14" x14ac:dyDescent="0.3">
      <c r="A119" s="4">
        <v>45361</v>
      </c>
      <c r="B119" s="3" t="s">
        <v>24</v>
      </c>
      <c r="C119" s="3" t="s">
        <v>21</v>
      </c>
      <c r="D119" t="s">
        <v>7</v>
      </c>
      <c r="E119">
        <v>1960</v>
      </c>
      <c r="F119" t="s">
        <v>7</v>
      </c>
      <c r="G119" t="s">
        <v>8</v>
      </c>
      <c r="H119" t="s">
        <v>6</v>
      </c>
      <c r="I119" t="s">
        <v>31</v>
      </c>
      <c r="J119" s="7">
        <v>34288</v>
      </c>
      <c r="K119" s="7">
        <v>6741</v>
      </c>
      <c r="L119" s="7">
        <v>25621</v>
      </c>
      <c r="M119" s="7">
        <v>1926</v>
      </c>
      <c r="N119" s="7">
        <v>0</v>
      </c>
    </row>
    <row r="120" spans="1:14" x14ac:dyDescent="0.3">
      <c r="A120" s="4">
        <v>45362</v>
      </c>
      <c r="B120" s="3" t="s">
        <v>24</v>
      </c>
      <c r="C120" s="3" t="s">
        <v>20</v>
      </c>
      <c r="D120" t="s">
        <v>4</v>
      </c>
      <c r="E120">
        <v>163</v>
      </c>
      <c r="F120" t="s">
        <v>5</v>
      </c>
      <c r="G120" t="s">
        <v>6</v>
      </c>
      <c r="H120" t="s">
        <v>31</v>
      </c>
      <c r="I120" t="s">
        <v>31</v>
      </c>
      <c r="J120" s="7">
        <v>34125</v>
      </c>
      <c r="K120" s="7">
        <v>6741</v>
      </c>
      <c r="L120" s="7">
        <v>25621</v>
      </c>
      <c r="M120" s="7">
        <v>1763</v>
      </c>
      <c r="N120" s="7">
        <v>0</v>
      </c>
    </row>
    <row r="121" spans="1:14" x14ac:dyDescent="0.3">
      <c r="A121" s="4">
        <v>45363</v>
      </c>
      <c r="B121" s="3" t="s">
        <v>24</v>
      </c>
      <c r="C121" s="3" t="s">
        <v>19</v>
      </c>
      <c r="D121" t="s">
        <v>4</v>
      </c>
      <c r="E121">
        <v>140</v>
      </c>
      <c r="F121" t="s">
        <v>5</v>
      </c>
      <c r="G121" t="s">
        <v>6</v>
      </c>
      <c r="H121" t="s">
        <v>31</v>
      </c>
      <c r="I121" t="s">
        <v>31</v>
      </c>
      <c r="J121" s="7">
        <v>33985</v>
      </c>
      <c r="K121" s="7">
        <v>6741</v>
      </c>
      <c r="L121" s="7">
        <v>25621</v>
      </c>
      <c r="M121" s="7">
        <v>1623</v>
      </c>
      <c r="N121" s="7">
        <v>0</v>
      </c>
    </row>
    <row r="122" spans="1:14" x14ac:dyDescent="0.3">
      <c r="A122" s="4">
        <v>45363</v>
      </c>
      <c r="B122" s="3" t="s">
        <v>24</v>
      </c>
      <c r="C122" s="3" t="s">
        <v>19</v>
      </c>
      <c r="D122" t="s">
        <v>13</v>
      </c>
      <c r="E122">
        <v>1201</v>
      </c>
      <c r="F122" t="s">
        <v>5</v>
      </c>
      <c r="G122" t="s">
        <v>12</v>
      </c>
      <c r="H122" t="s">
        <v>31</v>
      </c>
      <c r="I122" t="s">
        <v>31</v>
      </c>
      <c r="J122" s="7">
        <v>32784</v>
      </c>
      <c r="K122" s="7">
        <v>6741</v>
      </c>
      <c r="L122" s="7">
        <v>24420</v>
      </c>
      <c r="M122" s="7">
        <v>1623</v>
      </c>
      <c r="N122" s="7">
        <v>0</v>
      </c>
    </row>
    <row r="123" spans="1:14" x14ac:dyDescent="0.3">
      <c r="A123" s="4">
        <v>45364</v>
      </c>
      <c r="B123" s="3" t="s">
        <v>24</v>
      </c>
      <c r="C123" s="3" t="s">
        <v>18</v>
      </c>
      <c r="D123" t="s">
        <v>9</v>
      </c>
      <c r="E123">
        <v>50</v>
      </c>
      <c r="F123" t="s">
        <v>5</v>
      </c>
      <c r="G123" t="s">
        <v>6</v>
      </c>
      <c r="H123" t="s">
        <v>31</v>
      </c>
      <c r="I123" t="s">
        <v>49</v>
      </c>
      <c r="J123" s="7">
        <v>32734</v>
      </c>
      <c r="K123" s="7">
        <v>6741</v>
      </c>
      <c r="L123" s="7">
        <v>24420</v>
      </c>
      <c r="M123" s="7">
        <v>1573</v>
      </c>
      <c r="N123" s="7">
        <v>0</v>
      </c>
    </row>
    <row r="124" spans="1:14" x14ac:dyDescent="0.3">
      <c r="A124" s="4">
        <v>45364</v>
      </c>
      <c r="B124" s="3" t="s">
        <v>24</v>
      </c>
      <c r="C124" s="3" t="s">
        <v>18</v>
      </c>
      <c r="D124" t="s">
        <v>4</v>
      </c>
      <c r="E124">
        <v>134</v>
      </c>
      <c r="F124" t="s">
        <v>5</v>
      </c>
      <c r="G124" t="s">
        <v>6</v>
      </c>
      <c r="H124" t="s">
        <v>31</v>
      </c>
      <c r="I124" t="s">
        <v>31</v>
      </c>
      <c r="J124" s="7">
        <v>32600</v>
      </c>
      <c r="K124" s="7">
        <v>6741</v>
      </c>
      <c r="L124" s="7">
        <v>24420</v>
      </c>
      <c r="M124" s="7">
        <v>1439</v>
      </c>
      <c r="N124" s="7">
        <v>0</v>
      </c>
    </row>
    <row r="125" spans="1:14" x14ac:dyDescent="0.3">
      <c r="A125" s="4">
        <v>45365</v>
      </c>
      <c r="B125" s="3" t="s">
        <v>24</v>
      </c>
      <c r="C125" s="3" t="s">
        <v>17</v>
      </c>
      <c r="D125" t="s">
        <v>7</v>
      </c>
      <c r="E125">
        <v>82</v>
      </c>
      <c r="F125" t="s">
        <v>7</v>
      </c>
      <c r="G125" t="s">
        <v>6</v>
      </c>
      <c r="H125" t="s">
        <v>12</v>
      </c>
      <c r="I125" t="s">
        <v>31</v>
      </c>
      <c r="J125" s="7">
        <v>32600</v>
      </c>
      <c r="K125" s="7">
        <v>6741</v>
      </c>
      <c r="L125" s="7">
        <v>24502</v>
      </c>
      <c r="M125" s="7">
        <v>1357</v>
      </c>
      <c r="N125" s="7">
        <v>0</v>
      </c>
    </row>
    <row r="126" spans="1:14" x14ac:dyDescent="0.3">
      <c r="A126" s="4">
        <v>45365</v>
      </c>
      <c r="B126" s="3" t="s">
        <v>24</v>
      </c>
      <c r="C126" s="3" t="s">
        <v>17</v>
      </c>
      <c r="D126" t="s">
        <v>4</v>
      </c>
      <c r="E126">
        <v>110</v>
      </c>
      <c r="F126" t="s">
        <v>5</v>
      </c>
      <c r="G126" t="s">
        <v>6</v>
      </c>
      <c r="H126" t="s">
        <v>31</v>
      </c>
      <c r="I126" t="s">
        <v>31</v>
      </c>
      <c r="J126" s="7">
        <v>32490</v>
      </c>
      <c r="K126" s="7">
        <v>6741</v>
      </c>
      <c r="L126" s="7">
        <v>24502</v>
      </c>
      <c r="M126" s="7">
        <v>1247</v>
      </c>
      <c r="N126" s="7">
        <v>0</v>
      </c>
    </row>
    <row r="127" spans="1:14" x14ac:dyDescent="0.3">
      <c r="A127" s="4">
        <v>45366</v>
      </c>
      <c r="B127" s="3" t="s">
        <v>24</v>
      </c>
      <c r="C127" s="3" t="s">
        <v>23</v>
      </c>
      <c r="D127" t="s">
        <v>4</v>
      </c>
      <c r="E127">
        <v>220</v>
      </c>
      <c r="F127" t="s">
        <v>5</v>
      </c>
      <c r="G127" t="s">
        <v>6</v>
      </c>
      <c r="H127" t="s">
        <v>31</v>
      </c>
      <c r="I127" t="s">
        <v>31</v>
      </c>
      <c r="J127" s="7">
        <v>32270</v>
      </c>
      <c r="K127" s="7">
        <v>6741</v>
      </c>
      <c r="L127" s="7">
        <v>24502</v>
      </c>
      <c r="M127" s="7">
        <v>1027</v>
      </c>
      <c r="N127" s="7">
        <v>0</v>
      </c>
    </row>
    <row r="128" spans="1:14" x14ac:dyDescent="0.3">
      <c r="A128" s="4">
        <v>45367</v>
      </c>
      <c r="B128" s="3" t="s">
        <v>24</v>
      </c>
      <c r="C128" s="3" t="s">
        <v>22</v>
      </c>
      <c r="D128" t="s">
        <v>4</v>
      </c>
      <c r="E128">
        <v>104</v>
      </c>
      <c r="F128" t="s">
        <v>5</v>
      </c>
      <c r="G128" t="s">
        <v>6</v>
      </c>
      <c r="H128" t="s">
        <v>31</v>
      </c>
      <c r="I128" t="s">
        <v>31</v>
      </c>
      <c r="J128" s="7">
        <v>32166</v>
      </c>
      <c r="K128" s="7">
        <v>6741</v>
      </c>
      <c r="L128" s="7">
        <v>24502</v>
      </c>
      <c r="M128" s="7">
        <v>923</v>
      </c>
      <c r="N128" s="7">
        <v>0</v>
      </c>
    </row>
    <row r="129" spans="1:14" x14ac:dyDescent="0.3">
      <c r="A129" s="4">
        <v>45368</v>
      </c>
      <c r="B129" s="3" t="s">
        <v>24</v>
      </c>
      <c r="C129" s="3" t="s">
        <v>21</v>
      </c>
      <c r="D129" t="s">
        <v>4</v>
      </c>
      <c r="E129">
        <v>290</v>
      </c>
      <c r="F129" t="s">
        <v>5</v>
      </c>
      <c r="G129" t="s">
        <v>6</v>
      </c>
      <c r="H129" t="s">
        <v>31</v>
      </c>
      <c r="I129" t="s">
        <v>31</v>
      </c>
      <c r="J129" s="7">
        <v>31876</v>
      </c>
      <c r="K129" s="7">
        <v>6741</v>
      </c>
      <c r="L129" s="7">
        <v>24502</v>
      </c>
      <c r="M129" s="7">
        <v>633</v>
      </c>
      <c r="N129" s="7">
        <v>0</v>
      </c>
    </row>
    <row r="130" spans="1:14" x14ac:dyDescent="0.3">
      <c r="A130" s="4">
        <v>45369</v>
      </c>
      <c r="B130" s="3" t="s">
        <v>24</v>
      </c>
      <c r="C130" s="3" t="s">
        <v>20</v>
      </c>
      <c r="D130" t="s">
        <v>4</v>
      </c>
      <c r="E130">
        <v>190</v>
      </c>
      <c r="F130" t="s">
        <v>5</v>
      </c>
      <c r="G130" t="s">
        <v>6</v>
      </c>
      <c r="H130" t="s">
        <v>31</v>
      </c>
      <c r="I130" t="s">
        <v>31</v>
      </c>
      <c r="J130" s="7">
        <v>31686</v>
      </c>
      <c r="K130" s="7">
        <v>6741</v>
      </c>
      <c r="L130" s="7">
        <v>24502</v>
      </c>
      <c r="M130" s="7">
        <v>443</v>
      </c>
      <c r="N130" s="7">
        <v>0</v>
      </c>
    </row>
    <row r="131" spans="1:14" x14ac:dyDescent="0.3">
      <c r="A131" s="4">
        <v>45370</v>
      </c>
      <c r="B131" s="3" t="s">
        <v>24</v>
      </c>
      <c r="C131" s="3" t="s">
        <v>19</v>
      </c>
      <c r="D131" t="s">
        <v>4</v>
      </c>
      <c r="E131">
        <v>220</v>
      </c>
      <c r="F131" t="s">
        <v>5</v>
      </c>
      <c r="G131" t="s">
        <v>6</v>
      </c>
      <c r="H131" t="s">
        <v>31</v>
      </c>
      <c r="I131" t="s">
        <v>31</v>
      </c>
      <c r="J131" s="7">
        <v>31466</v>
      </c>
      <c r="K131" s="7">
        <v>6741</v>
      </c>
      <c r="L131" s="7">
        <v>24502</v>
      </c>
      <c r="M131" s="7">
        <v>223</v>
      </c>
      <c r="N131" s="7">
        <v>0</v>
      </c>
    </row>
    <row r="132" spans="1:14" x14ac:dyDescent="0.3">
      <c r="A132" s="4">
        <v>45370</v>
      </c>
      <c r="B132" s="3" t="s">
        <v>24</v>
      </c>
      <c r="C132" s="3" t="s">
        <v>19</v>
      </c>
      <c r="D132" t="s">
        <v>10</v>
      </c>
      <c r="E132">
        <v>10</v>
      </c>
      <c r="F132" t="s">
        <v>11</v>
      </c>
      <c r="G132" t="s">
        <v>12</v>
      </c>
      <c r="H132" t="s">
        <v>31</v>
      </c>
      <c r="I132" t="s">
        <v>50</v>
      </c>
      <c r="J132" s="7">
        <v>31476</v>
      </c>
      <c r="K132" s="7">
        <v>6741</v>
      </c>
      <c r="L132" s="7">
        <v>24512</v>
      </c>
      <c r="M132" s="7">
        <v>223</v>
      </c>
      <c r="N132" s="7">
        <v>0</v>
      </c>
    </row>
    <row r="133" spans="1:14" x14ac:dyDescent="0.3">
      <c r="A133" s="4">
        <v>45371</v>
      </c>
      <c r="B133" s="3" t="s">
        <v>24</v>
      </c>
      <c r="C133" s="3" t="s">
        <v>18</v>
      </c>
      <c r="D133" t="s">
        <v>4</v>
      </c>
      <c r="E133">
        <v>160</v>
      </c>
      <c r="F133" t="s">
        <v>5</v>
      </c>
      <c r="G133" t="s">
        <v>6</v>
      </c>
      <c r="H133" t="s">
        <v>31</v>
      </c>
      <c r="I133" t="s">
        <v>31</v>
      </c>
      <c r="J133" s="7">
        <v>31316</v>
      </c>
      <c r="K133" s="7">
        <v>6741</v>
      </c>
      <c r="L133" s="7">
        <v>24512</v>
      </c>
      <c r="M133" s="7">
        <v>63</v>
      </c>
      <c r="N133" s="7">
        <v>0</v>
      </c>
    </row>
    <row r="134" spans="1:14" x14ac:dyDescent="0.3">
      <c r="A134" s="4">
        <v>45371</v>
      </c>
      <c r="B134" s="3" t="s">
        <v>24</v>
      </c>
      <c r="C134" s="3" t="s">
        <v>18</v>
      </c>
      <c r="D134" t="s">
        <v>9</v>
      </c>
      <c r="E134">
        <v>30</v>
      </c>
      <c r="F134" t="s">
        <v>5</v>
      </c>
      <c r="G134" t="s">
        <v>6</v>
      </c>
      <c r="H134" t="s">
        <v>31</v>
      </c>
      <c r="I134" t="s">
        <v>51</v>
      </c>
      <c r="J134" s="7">
        <v>31286</v>
      </c>
      <c r="K134" s="7">
        <v>6741</v>
      </c>
      <c r="L134" s="7">
        <v>24512</v>
      </c>
      <c r="M134" s="7">
        <v>33</v>
      </c>
      <c r="N134" s="7">
        <v>0</v>
      </c>
    </row>
    <row r="135" spans="1:14" x14ac:dyDescent="0.3">
      <c r="A135" s="4">
        <v>45372</v>
      </c>
      <c r="B135" s="3" t="s">
        <v>24</v>
      </c>
      <c r="C135" s="3" t="s">
        <v>17</v>
      </c>
      <c r="D135" t="s">
        <v>7</v>
      </c>
      <c r="E135">
        <v>1967</v>
      </c>
      <c r="F135" t="s">
        <v>7</v>
      </c>
      <c r="G135" t="s">
        <v>8</v>
      </c>
      <c r="H135" t="s">
        <v>6</v>
      </c>
      <c r="I135" t="s">
        <v>31</v>
      </c>
      <c r="J135" s="7">
        <v>31286</v>
      </c>
      <c r="K135" s="7">
        <v>4774</v>
      </c>
      <c r="L135" s="7">
        <v>24512</v>
      </c>
      <c r="M135" s="7">
        <v>2000</v>
      </c>
      <c r="N135" s="7">
        <v>0</v>
      </c>
    </row>
    <row r="136" spans="1:14" x14ac:dyDescent="0.3">
      <c r="A136" s="4">
        <v>45372</v>
      </c>
      <c r="B136" s="3" t="s">
        <v>24</v>
      </c>
      <c r="C136" s="3" t="s">
        <v>17</v>
      </c>
      <c r="D136" t="s">
        <v>4</v>
      </c>
      <c r="E136">
        <v>524</v>
      </c>
      <c r="F136" t="s">
        <v>5</v>
      </c>
      <c r="G136" t="s">
        <v>6</v>
      </c>
      <c r="H136" t="s">
        <v>31</v>
      </c>
      <c r="I136" t="s">
        <v>52</v>
      </c>
      <c r="J136" s="7">
        <v>30762</v>
      </c>
      <c r="K136" s="7">
        <v>4774</v>
      </c>
      <c r="L136" s="7">
        <v>24512</v>
      </c>
      <c r="M136" s="7">
        <v>1476</v>
      </c>
      <c r="N136" s="7">
        <v>0</v>
      </c>
    </row>
  </sheetData>
  <sortState xmlns:xlrd2="http://schemas.microsoft.com/office/spreadsheetml/2017/richdata2" ref="I2:R136">
    <sortCondition ref="I1"/>
  </sortState>
  <conditionalFormatting sqref="F1:F136">
    <cfRule type="cellIs" dxfId="3" priority="1" operator="equal">
      <formula>"Transfer"</formula>
    </cfRule>
    <cfRule type="cellIs" dxfId="4" priority="2" operator="equal">
      <formula>"Income"</formula>
    </cfRule>
    <cfRule type="cellIs" dxfId="5" priority="3" operator="equal">
      <formula>"Expense"</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2E17B-3D0E-47DF-B740-154A132EF631}">
  <sheetPr codeName="Sheet4"/>
  <dimension ref="A1:AG87"/>
  <sheetViews>
    <sheetView zoomScale="114" zoomScaleNormal="43" workbookViewId="0">
      <selection activeCell="N7" sqref="N7"/>
    </sheetView>
  </sheetViews>
  <sheetFormatPr defaultRowHeight="14.4" x14ac:dyDescent="0.3"/>
  <cols>
    <col min="1" max="1" width="14.44140625" bestFit="1" customWidth="1"/>
    <col min="2" max="2" width="15.5546875" bestFit="1" customWidth="1"/>
    <col min="3" max="3" width="12.5546875" bestFit="1" customWidth="1"/>
    <col min="4" max="4" width="14.44140625" bestFit="1" customWidth="1"/>
    <col min="5" max="5" width="15.5546875" bestFit="1" customWidth="1"/>
    <col min="6" max="6" width="8.33203125" bestFit="1" customWidth="1"/>
    <col min="7" max="7" width="14.44140625" bestFit="1" customWidth="1"/>
    <col min="8" max="8" width="15.5546875" bestFit="1" customWidth="1"/>
    <col min="9" max="9" width="15.5546875" customWidth="1"/>
    <col min="10" max="10" width="14.44140625" bestFit="1" customWidth="1"/>
    <col min="11" max="11" width="15.6640625" bestFit="1" customWidth="1"/>
    <col min="12" max="12" width="6" customWidth="1"/>
    <col min="13" max="13" width="17.6640625" bestFit="1" customWidth="1"/>
    <col min="14" max="14" width="15.5546875" bestFit="1" customWidth="1"/>
    <col min="15" max="17" width="6" customWidth="1"/>
    <col min="18" max="18" width="10.77734375" bestFit="1" customWidth="1"/>
    <col min="19" max="19" width="9.6640625" bestFit="1" customWidth="1"/>
    <col min="20" max="21" width="10.109375" bestFit="1" customWidth="1"/>
    <col min="22" max="22" width="6.77734375" bestFit="1" customWidth="1"/>
    <col min="23" max="24" width="7.77734375" bestFit="1" customWidth="1"/>
    <col min="25" max="25" width="8.88671875" bestFit="1" customWidth="1"/>
    <col min="26" max="26" width="6.21875" bestFit="1" customWidth="1"/>
    <col min="27" max="27" width="10.77734375" bestFit="1" customWidth="1"/>
    <col min="28" max="28" width="9.21875" bestFit="1" customWidth="1"/>
    <col min="29" max="29" width="9.77734375" bestFit="1" customWidth="1"/>
    <col min="30" max="30" width="7.88671875" bestFit="1" customWidth="1"/>
    <col min="31" max="31" width="9.77734375" bestFit="1" customWidth="1"/>
    <col min="32" max="32" width="7.88671875" bestFit="1" customWidth="1"/>
    <col min="33" max="33" width="8.33203125" bestFit="1" customWidth="1"/>
  </cols>
  <sheetData>
    <row r="1" spans="1:33" x14ac:dyDescent="0.3">
      <c r="A1" s="1" t="s">
        <v>25</v>
      </c>
      <c r="B1" t="s">
        <v>24</v>
      </c>
      <c r="D1" s="1" t="s">
        <v>25</v>
      </c>
      <c r="E1" t="s">
        <v>24</v>
      </c>
      <c r="G1" s="1" t="s">
        <v>25</v>
      </c>
      <c r="H1" t="s">
        <v>24</v>
      </c>
      <c r="J1" s="1" t="s">
        <v>25</v>
      </c>
      <c r="K1" t="s">
        <v>43</v>
      </c>
      <c r="M1" s="1" t="s">
        <v>25</v>
      </c>
      <c r="N1" t="s">
        <v>24</v>
      </c>
      <c r="AA1" t="s">
        <v>129</v>
      </c>
      <c r="AB1" t="s">
        <v>130</v>
      </c>
      <c r="AC1" t="s">
        <v>131</v>
      </c>
      <c r="AD1" t="s">
        <v>132</v>
      </c>
      <c r="AE1" t="s">
        <v>133</v>
      </c>
      <c r="AF1" t="s">
        <v>134</v>
      </c>
      <c r="AG1" t="s">
        <v>135</v>
      </c>
    </row>
    <row r="2" spans="1:33" x14ac:dyDescent="0.3">
      <c r="AA2" s="11" cm="1">
        <f t="array" ref="AA2:AG7">IFERROR(VLOOKUP(TEXT(_xlfn.ANCHORARRAY(Dashboard!T24),"DD-MMM"),Pivots!J5:K1048576,MATCH("Expense",J4:K4,0),FALSE),0)</f>
        <v>230</v>
      </c>
      <c r="AB2" s="11">
        <v>184</v>
      </c>
      <c r="AC2" s="11">
        <v>274</v>
      </c>
      <c r="AD2" s="11">
        <v>252</v>
      </c>
      <c r="AE2" s="11">
        <v>241</v>
      </c>
      <c r="AF2" s="11">
        <v>160</v>
      </c>
      <c r="AG2" s="11">
        <v>1571</v>
      </c>
    </row>
    <row r="3" spans="1:33" x14ac:dyDescent="0.3">
      <c r="A3" s="1" t="s">
        <v>41</v>
      </c>
      <c r="B3" s="1" t="s">
        <v>42</v>
      </c>
      <c r="D3" s="1" t="s">
        <v>41</v>
      </c>
      <c r="E3" s="1" t="s">
        <v>42</v>
      </c>
      <c r="G3" s="1" t="s">
        <v>41</v>
      </c>
      <c r="H3" s="1" t="s">
        <v>42</v>
      </c>
      <c r="I3" s="1"/>
      <c r="J3" s="1" t="s">
        <v>41</v>
      </c>
      <c r="K3" s="1" t="s">
        <v>42</v>
      </c>
      <c r="M3" s="1" t="s">
        <v>150</v>
      </c>
      <c r="N3" s="1" t="s">
        <v>42</v>
      </c>
      <c r="AA3" s="11">
        <v>174</v>
      </c>
      <c r="AB3" s="11">
        <v>560</v>
      </c>
      <c r="AC3" s="11">
        <v>130</v>
      </c>
      <c r="AD3" s="11">
        <v>90</v>
      </c>
      <c r="AE3" s="11">
        <v>3974</v>
      </c>
      <c r="AF3" s="11">
        <v>170</v>
      </c>
      <c r="AG3" s="11">
        <v>194</v>
      </c>
    </row>
    <row r="4" spans="1:33" x14ac:dyDescent="0.3">
      <c r="A4" s="1" t="s">
        <v>40</v>
      </c>
      <c r="B4" t="s">
        <v>5</v>
      </c>
      <c r="D4" s="1" t="s">
        <v>40</v>
      </c>
      <c r="E4" t="s">
        <v>5</v>
      </c>
      <c r="G4" s="1" t="s">
        <v>40</v>
      </c>
      <c r="H4" t="s">
        <v>5</v>
      </c>
      <c r="J4" s="1" t="s">
        <v>40</v>
      </c>
      <c r="K4" t="s">
        <v>5</v>
      </c>
      <c r="M4" s="1" t="s">
        <v>40</v>
      </c>
      <c r="N4" t="s">
        <v>5</v>
      </c>
      <c r="AA4" s="11">
        <v>163</v>
      </c>
      <c r="AB4" s="11">
        <v>1341</v>
      </c>
      <c r="AC4" s="11">
        <v>184</v>
      </c>
      <c r="AD4" s="11">
        <v>110</v>
      </c>
      <c r="AE4" s="11">
        <v>220</v>
      </c>
      <c r="AF4" s="11">
        <v>104</v>
      </c>
      <c r="AG4" s="11">
        <v>290</v>
      </c>
    </row>
    <row r="5" spans="1:33" x14ac:dyDescent="0.3">
      <c r="A5" s="2" t="s">
        <v>113</v>
      </c>
      <c r="B5">
        <v>241</v>
      </c>
      <c r="D5" s="2" t="s">
        <v>16</v>
      </c>
      <c r="E5">
        <v>210</v>
      </c>
      <c r="G5" s="8" t="s">
        <v>113</v>
      </c>
      <c r="H5">
        <v>241</v>
      </c>
      <c r="J5" s="8" t="s">
        <v>54</v>
      </c>
      <c r="K5">
        <v>569</v>
      </c>
      <c r="M5" s="2" t="s">
        <v>16</v>
      </c>
      <c r="N5">
        <v>210</v>
      </c>
      <c r="AA5" s="11">
        <v>190</v>
      </c>
      <c r="AB5" s="11">
        <v>220</v>
      </c>
      <c r="AC5" s="11">
        <v>190</v>
      </c>
      <c r="AD5" s="11">
        <v>524</v>
      </c>
      <c r="AE5" s="11">
        <v>0</v>
      </c>
      <c r="AF5" s="11">
        <v>0</v>
      </c>
      <c r="AG5" s="11">
        <v>0</v>
      </c>
    </row>
    <row r="6" spans="1:33" x14ac:dyDescent="0.3">
      <c r="A6" s="2" t="s">
        <v>114</v>
      </c>
      <c r="B6">
        <v>401</v>
      </c>
      <c r="D6" s="2" t="s">
        <v>4</v>
      </c>
      <c r="E6">
        <v>4340</v>
      </c>
      <c r="G6" s="8" t="s">
        <v>114</v>
      </c>
      <c r="H6">
        <v>160</v>
      </c>
      <c r="J6" s="8" t="s">
        <v>55</v>
      </c>
      <c r="K6">
        <v>239</v>
      </c>
      <c r="M6" s="2" t="s">
        <v>4</v>
      </c>
      <c r="N6">
        <v>206.66666666666666</v>
      </c>
      <c r="AA6" s="11">
        <v>0</v>
      </c>
      <c r="AB6" s="11">
        <v>0</v>
      </c>
      <c r="AC6" s="11">
        <v>0</v>
      </c>
      <c r="AD6" s="11">
        <v>0</v>
      </c>
      <c r="AE6" s="11">
        <v>0</v>
      </c>
      <c r="AF6" s="11">
        <v>0</v>
      </c>
      <c r="AG6" s="11">
        <v>0</v>
      </c>
    </row>
    <row r="7" spans="1:33" x14ac:dyDescent="0.3">
      <c r="A7" s="2" t="s">
        <v>115</v>
      </c>
      <c r="B7">
        <v>1972</v>
      </c>
      <c r="D7" s="2" t="s">
        <v>9</v>
      </c>
      <c r="E7">
        <v>430</v>
      </c>
      <c r="G7" s="8" t="s">
        <v>115</v>
      </c>
      <c r="H7">
        <v>1571</v>
      </c>
      <c r="J7" s="8" t="s">
        <v>56</v>
      </c>
      <c r="K7">
        <v>219</v>
      </c>
      <c r="M7" s="2" t="s">
        <v>9</v>
      </c>
      <c r="N7">
        <v>107.5</v>
      </c>
      <c r="AA7" s="11">
        <v>0</v>
      </c>
      <c r="AB7" s="11">
        <v>0</v>
      </c>
      <c r="AC7" s="11">
        <v>0</v>
      </c>
      <c r="AD7" s="11">
        <v>0</v>
      </c>
      <c r="AE7" s="11">
        <v>0</v>
      </c>
      <c r="AF7" s="11">
        <v>0</v>
      </c>
      <c r="AG7" s="11">
        <v>0</v>
      </c>
    </row>
    <row r="8" spans="1:33" x14ac:dyDescent="0.3">
      <c r="A8" s="2" t="s">
        <v>116</v>
      </c>
      <c r="B8">
        <v>2146</v>
      </c>
      <c r="D8" s="2" t="s">
        <v>14</v>
      </c>
      <c r="E8">
        <v>3500</v>
      </c>
      <c r="G8" s="8" t="s">
        <v>116</v>
      </c>
      <c r="H8">
        <v>174</v>
      </c>
      <c r="J8" s="8" t="s">
        <v>57</v>
      </c>
      <c r="K8">
        <v>294</v>
      </c>
      <c r="M8" s="2" t="s">
        <v>14</v>
      </c>
      <c r="N8">
        <v>3500</v>
      </c>
    </row>
    <row r="9" spans="1:33" x14ac:dyDescent="0.3">
      <c r="A9" s="2" t="s">
        <v>117</v>
      </c>
      <c r="B9">
        <v>2706</v>
      </c>
      <c r="D9" s="2" t="s">
        <v>13</v>
      </c>
      <c r="E9">
        <v>1201</v>
      </c>
      <c r="G9" s="8" t="s">
        <v>117</v>
      </c>
      <c r="H9">
        <v>560</v>
      </c>
      <c r="J9" s="8" t="s">
        <v>58</v>
      </c>
      <c r="K9">
        <v>229</v>
      </c>
      <c r="M9" s="2" t="s">
        <v>13</v>
      </c>
      <c r="N9">
        <v>1201</v>
      </c>
      <c r="AA9" t="s">
        <v>5</v>
      </c>
      <c r="AB9" t="s">
        <v>148</v>
      </c>
    </row>
    <row r="10" spans="1:33" x14ac:dyDescent="0.3">
      <c r="A10" s="2" t="s">
        <v>118</v>
      </c>
      <c r="B10">
        <v>2836</v>
      </c>
      <c r="D10" s="2" t="s">
        <v>53</v>
      </c>
      <c r="E10">
        <v>9681</v>
      </c>
      <c r="G10" s="8" t="s">
        <v>118</v>
      </c>
      <c r="H10">
        <v>130</v>
      </c>
      <c r="J10" s="8" t="s">
        <v>59</v>
      </c>
      <c r="K10">
        <v>1146</v>
      </c>
      <c r="M10" s="2" t="s">
        <v>53</v>
      </c>
      <c r="N10">
        <v>345.75</v>
      </c>
      <c r="AA10" s="7">
        <f>Dashboard!$Y$36</f>
        <v>10800</v>
      </c>
      <c r="AB10" s="7">
        <f>Dashboard!$Y$37</f>
        <v>14227</v>
      </c>
    </row>
    <row r="11" spans="1:33" x14ac:dyDescent="0.3">
      <c r="A11" s="2" t="s">
        <v>119</v>
      </c>
      <c r="B11">
        <v>2926</v>
      </c>
      <c r="G11" s="8" t="s">
        <v>119</v>
      </c>
      <c r="H11">
        <v>90</v>
      </c>
      <c r="J11" s="8" t="s">
        <v>60</v>
      </c>
      <c r="K11">
        <v>478</v>
      </c>
    </row>
    <row r="12" spans="1:33" x14ac:dyDescent="0.3">
      <c r="A12" s="2" t="s">
        <v>120</v>
      </c>
      <c r="B12">
        <v>3400</v>
      </c>
      <c r="G12" s="8" t="s">
        <v>120</v>
      </c>
      <c r="H12">
        <v>474</v>
      </c>
      <c r="J12" s="8" t="s">
        <v>61</v>
      </c>
      <c r="K12">
        <v>145</v>
      </c>
    </row>
    <row r="13" spans="1:33" x14ac:dyDescent="0.3">
      <c r="A13" s="2" t="s">
        <v>121</v>
      </c>
      <c r="B13">
        <v>3570</v>
      </c>
      <c r="G13" s="8" t="s">
        <v>121</v>
      </c>
      <c r="H13">
        <v>170</v>
      </c>
      <c r="J13" s="8" t="s">
        <v>62</v>
      </c>
      <c r="K13">
        <v>3704</v>
      </c>
    </row>
    <row r="14" spans="1:33" x14ac:dyDescent="0.3">
      <c r="A14" s="2" t="s">
        <v>122</v>
      </c>
      <c r="B14">
        <v>3764</v>
      </c>
      <c r="G14" s="8" t="s">
        <v>122</v>
      </c>
      <c r="H14">
        <v>194</v>
      </c>
      <c r="J14" s="8" t="s">
        <v>63</v>
      </c>
      <c r="K14">
        <v>234</v>
      </c>
    </row>
    <row r="15" spans="1:33" x14ac:dyDescent="0.3">
      <c r="A15" s="2" t="s">
        <v>123</v>
      </c>
      <c r="B15">
        <v>3927</v>
      </c>
      <c r="G15" s="8" t="s">
        <v>123</v>
      </c>
      <c r="H15">
        <v>163</v>
      </c>
      <c r="J15" s="8" t="s">
        <v>64</v>
      </c>
      <c r="K15">
        <v>250</v>
      </c>
    </row>
    <row r="16" spans="1:33" x14ac:dyDescent="0.3">
      <c r="A16" s="2" t="s">
        <v>124</v>
      </c>
      <c r="B16">
        <v>5268</v>
      </c>
      <c r="G16" s="8" t="s">
        <v>124</v>
      </c>
      <c r="H16">
        <v>1341</v>
      </c>
      <c r="J16" s="8" t="s">
        <v>65</v>
      </c>
      <c r="K16">
        <v>264</v>
      </c>
    </row>
    <row r="17" spans="1:25" x14ac:dyDescent="0.3">
      <c r="A17" s="2" t="s">
        <v>125</v>
      </c>
      <c r="B17">
        <v>5452</v>
      </c>
      <c r="G17" s="8" t="s">
        <v>125</v>
      </c>
      <c r="H17">
        <v>184</v>
      </c>
      <c r="J17" s="8" t="s">
        <v>66</v>
      </c>
      <c r="K17">
        <v>455</v>
      </c>
    </row>
    <row r="18" spans="1:25" x14ac:dyDescent="0.3">
      <c r="A18" s="2" t="s">
        <v>126</v>
      </c>
      <c r="B18">
        <v>5562</v>
      </c>
      <c r="G18" s="8" t="s">
        <v>126</v>
      </c>
      <c r="H18">
        <v>110</v>
      </c>
      <c r="J18" s="8" t="s">
        <v>67</v>
      </c>
      <c r="K18">
        <v>655</v>
      </c>
    </row>
    <row r="19" spans="1:25" x14ac:dyDescent="0.3">
      <c r="A19" s="2" t="s">
        <v>136</v>
      </c>
      <c r="B19">
        <v>5782</v>
      </c>
      <c r="G19" s="8" t="s">
        <v>136</v>
      </c>
      <c r="H19">
        <v>220</v>
      </c>
      <c r="J19" s="8" t="s">
        <v>68</v>
      </c>
      <c r="K19">
        <v>280</v>
      </c>
    </row>
    <row r="20" spans="1:25" x14ac:dyDescent="0.3">
      <c r="A20" s="2" t="s">
        <v>137</v>
      </c>
      <c r="B20">
        <v>5886</v>
      </c>
      <c r="G20" s="8" t="s">
        <v>137</v>
      </c>
      <c r="H20">
        <v>104</v>
      </c>
      <c r="J20" s="8" t="s">
        <v>69</v>
      </c>
      <c r="K20">
        <v>279</v>
      </c>
    </row>
    <row r="21" spans="1:25" x14ac:dyDescent="0.3">
      <c r="A21" s="2" t="s">
        <v>138</v>
      </c>
      <c r="B21">
        <v>6176</v>
      </c>
      <c r="G21" s="8" t="s">
        <v>138</v>
      </c>
      <c r="H21">
        <v>290</v>
      </c>
      <c r="J21" s="8" t="s">
        <v>70</v>
      </c>
      <c r="K21">
        <v>814</v>
      </c>
    </row>
    <row r="22" spans="1:25" x14ac:dyDescent="0.3">
      <c r="A22" s="2" t="s">
        <v>139</v>
      </c>
      <c r="B22">
        <v>6366</v>
      </c>
      <c r="G22" s="8" t="s">
        <v>139</v>
      </c>
      <c r="H22">
        <v>190</v>
      </c>
      <c r="J22" s="8" t="s">
        <v>71</v>
      </c>
      <c r="K22">
        <v>1334</v>
      </c>
    </row>
    <row r="23" spans="1:25" x14ac:dyDescent="0.3">
      <c r="A23" s="2" t="s">
        <v>140</v>
      </c>
      <c r="B23">
        <v>6586</v>
      </c>
      <c r="G23" s="8" t="s">
        <v>140</v>
      </c>
      <c r="H23">
        <v>220</v>
      </c>
      <c r="J23" s="8" t="s">
        <v>72</v>
      </c>
      <c r="K23">
        <v>169</v>
      </c>
    </row>
    <row r="24" spans="1:25" x14ac:dyDescent="0.3">
      <c r="A24" s="2" t="s">
        <v>141</v>
      </c>
      <c r="B24">
        <v>6776</v>
      </c>
      <c r="G24" s="8" t="s">
        <v>141</v>
      </c>
      <c r="H24">
        <v>190</v>
      </c>
      <c r="J24" s="8" t="s">
        <v>73</v>
      </c>
      <c r="K24">
        <v>10000</v>
      </c>
    </row>
    <row r="25" spans="1:25" x14ac:dyDescent="0.3">
      <c r="A25" s="2" t="s">
        <v>142</v>
      </c>
      <c r="B25">
        <v>7300</v>
      </c>
      <c r="G25" s="8" t="s">
        <v>142</v>
      </c>
      <c r="H25">
        <v>524</v>
      </c>
      <c r="J25" s="8" t="s">
        <v>75</v>
      </c>
      <c r="K25">
        <v>830</v>
      </c>
    </row>
    <row r="26" spans="1:25" x14ac:dyDescent="0.3">
      <c r="A26" s="2" t="s">
        <v>53</v>
      </c>
      <c r="J26" s="8" t="s">
        <v>78</v>
      </c>
      <c r="K26">
        <v>111</v>
      </c>
      <c r="S26" t="str" cm="1">
        <f t="array" ref="S26:Y31">TEXT(_xlfn.ANCHORARRAY(Dashboard!T24),"DD-MMM")</f>
        <v>26-Feb</v>
      </c>
      <c r="T26" t="str">
        <v>27-Feb</v>
      </c>
      <c r="U26" t="str">
        <v>28-Feb</v>
      </c>
      <c r="V26" t="str">
        <v>29-Feb</v>
      </c>
      <c r="W26" t="str">
        <v>01-Mar</v>
      </c>
      <c r="X26" t="str">
        <v>02-Mar</v>
      </c>
      <c r="Y26" t="str">
        <v>03-Mar</v>
      </c>
    </row>
    <row r="27" spans="1:25" x14ac:dyDescent="0.3">
      <c r="J27" s="8" t="s">
        <v>80</v>
      </c>
      <c r="K27">
        <v>100</v>
      </c>
      <c r="S27" t="str">
        <v>04-Mar</v>
      </c>
      <c r="T27" t="str">
        <v>05-Mar</v>
      </c>
      <c r="U27" t="str">
        <v>06-Mar</v>
      </c>
      <c r="V27" t="str">
        <v>07-Mar</v>
      </c>
      <c r="W27" t="str">
        <v>08-Mar</v>
      </c>
      <c r="X27" t="str">
        <v>09-Mar</v>
      </c>
      <c r="Y27" t="str">
        <v>10-Mar</v>
      </c>
    </row>
    <row r="28" spans="1:25" x14ac:dyDescent="0.3">
      <c r="J28" s="8" t="s">
        <v>82</v>
      </c>
      <c r="K28">
        <v>1070</v>
      </c>
      <c r="S28" t="str">
        <v>11-Mar</v>
      </c>
      <c r="T28" t="str">
        <v>12-Mar</v>
      </c>
      <c r="U28" t="str">
        <v>13-Mar</v>
      </c>
      <c r="V28" t="str">
        <v>14-Mar</v>
      </c>
      <c r="W28" t="str">
        <v>15-Mar</v>
      </c>
      <c r="X28" t="str">
        <v>16-Mar</v>
      </c>
      <c r="Y28" t="str">
        <v>17-Mar</v>
      </c>
    </row>
    <row r="29" spans="1:25" x14ac:dyDescent="0.3">
      <c r="D29" s="9"/>
      <c r="E29" s="9"/>
      <c r="F29" s="9"/>
      <c r="J29" s="8" t="s">
        <v>84</v>
      </c>
      <c r="K29">
        <v>160</v>
      </c>
      <c r="S29" t="str">
        <v>18-Mar</v>
      </c>
      <c r="T29" t="str">
        <v>19-Mar</v>
      </c>
      <c r="U29" t="str">
        <v>20-Mar</v>
      </c>
      <c r="V29" t="str">
        <v>21-Mar</v>
      </c>
      <c r="W29" t="str">
        <v>22-Mar</v>
      </c>
      <c r="X29" t="str">
        <v>23-Mar</v>
      </c>
      <c r="Y29" t="str">
        <v>24-Mar</v>
      </c>
    </row>
    <row r="30" spans="1:25" x14ac:dyDescent="0.3">
      <c r="D30" s="4"/>
      <c r="E30" s="4"/>
      <c r="F30" s="4"/>
      <c r="J30" s="8" t="s">
        <v>85</v>
      </c>
      <c r="K30">
        <v>140</v>
      </c>
      <c r="S30" t="str">
        <v>25-Mar</v>
      </c>
      <c r="T30" t="str">
        <v>26-Mar</v>
      </c>
      <c r="U30" t="str">
        <v>27-Mar</v>
      </c>
      <c r="V30" t="str">
        <v>28-Mar</v>
      </c>
      <c r="W30" t="str">
        <v>29-Mar</v>
      </c>
      <c r="X30" t="str">
        <v>30-Mar</v>
      </c>
      <c r="Y30" t="str">
        <v>31-Mar</v>
      </c>
    </row>
    <row r="31" spans="1:25" x14ac:dyDescent="0.3">
      <c r="D31" s="4"/>
      <c r="E31" s="4"/>
      <c r="F31" s="4"/>
      <c r="J31" s="8" t="s">
        <v>86</v>
      </c>
      <c r="K31">
        <v>310</v>
      </c>
      <c r="S31" t="str">
        <v>01-Apr</v>
      </c>
      <c r="T31" t="str">
        <v>02-Apr</v>
      </c>
      <c r="U31" t="str">
        <v>03-Apr</v>
      </c>
      <c r="V31" t="str">
        <v>04-Apr</v>
      </c>
      <c r="W31" t="str">
        <v>05-Apr</v>
      </c>
      <c r="X31" t="str">
        <v>06-Apr</v>
      </c>
      <c r="Y31" t="str">
        <v>07-Apr</v>
      </c>
    </row>
    <row r="32" spans="1:25" x14ac:dyDescent="0.3">
      <c r="D32" s="4"/>
      <c r="E32" s="4"/>
      <c r="F32" s="4"/>
      <c r="J32" s="8" t="s">
        <v>87</v>
      </c>
      <c r="K32">
        <v>214</v>
      </c>
    </row>
    <row r="33" spans="4:11" x14ac:dyDescent="0.3">
      <c r="D33" s="4"/>
      <c r="E33" s="4"/>
      <c r="F33" s="4"/>
      <c r="J33" s="8" t="s">
        <v>88</v>
      </c>
      <c r="K33">
        <v>50</v>
      </c>
    </row>
    <row r="34" spans="4:11" x14ac:dyDescent="0.3">
      <c r="D34" s="4"/>
      <c r="E34" s="4"/>
      <c r="F34" s="4"/>
      <c r="J34" s="8" t="s">
        <v>89</v>
      </c>
      <c r="K34">
        <v>595</v>
      </c>
    </row>
    <row r="35" spans="4:11" x14ac:dyDescent="0.3">
      <c r="J35" s="8" t="s">
        <v>90</v>
      </c>
      <c r="K35">
        <v>240</v>
      </c>
    </row>
    <row r="36" spans="4:11" x14ac:dyDescent="0.3">
      <c r="J36" s="8" t="s">
        <v>91</v>
      </c>
      <c r="K36">
        <v>130</v>
      </c>
    </row>
    <row r="37" spans="4:11" x14ac:dyDescent="0.3">
      <c r="J37" s="8" t="s">
        <v>92</v>
      </c>
      <c r="K37">
        <v>470</v>
      </c>
    </row>
    <row r="38" spans="4:11" x14ac:dyDescent="0.3">
      <c r="J38" s="8" t="s">
        <v>93</v>
      </c>
      <c r="K38">
        <v>3660</v>
      </c>
    </row>
    <row r="39" spans="4:11" x14ac:dyDescent="0.3">
      <c r="J39" s="8" t="s">
        <v>94</v>
      </c>
      <c r="K39">
        <v>500</v>
      </c>
    </row>
    <row r="40" spans="4:11" x14ac:dyDescent="0.3">
      <c r="J40" s="8" t="s">
        <v>95</v>
      </c>
      <c r="K40">
        <v>700</v>
      </c>
    </row>
    <row r="41" spans="4:11" x14ac:dyDescent="0.3">
      <c r="J41" s="8" t="s">
        <v>96</v>
      </c>
      <c r="K41">
        <v>287</v>
      </c>
    </row>
    <row r="42" spans="4:11" x14ac:dyDescent="0.3">
      <c r="J42" s="8" t="s">
        <v>97</v>
      </c>
      <c r="K42">
        <v>629</v>
      </c>
    </row>
    <row r="43" spans="4:11" x14ac:dyDescent="0.3">
      <c r="J43" s="8" t="s">
        <v>98</v>
      </c>
      <c r="K43">
        <v>239</v>
      </c>
    </row>
    <row r="44" spans="4:11" x14ac:dyDescent="0.3">
      <c r="J44" s="8" t="s">
        <v>99</v>
      </c>
      <c r="K44">
        <v>350</v>
      </c>
    </row>
    <row r="45" spans="4:11" x14ac:dyDescent="0.3">
      <c r="J45" s="8" t="s">
        <v>100</v>
      </c>
      <c r="K45">
        <v>190</v>
      </c>
    </row>
    <row r="46" spans="4:11" x14ac:dyDescent="0.3">
      <c r="J46" s="8" t="s">
        <v>101</v>
      </c>
      <c r="K46">
        <v>185</v>
      </c>
    </row>
    <row r="47" spans="4:11" x14ac:dyDescent="0.3">
      <c r="J47" s="8" t="s">
        <v>102</v>
      </c>
      <c r="K47">
        <v>1237</v>
      </c>
    </row>
    <row r="48" spans="4:11" x14ac:dyDescent="0.3">
      <c r="J48" s="8" t="s">
        <v>103</v>
      </c>
      <c r="K48">
        <v>140</v>
      </c>
    </row>
    <row r="49" spans="10:11" x14ac:dyDescent="0.3">
      <c r="J49" s="8" t="s">
        <v>104</v>
      </c>
      <c r="K49">
        <v>190</v>
      </c>
    </row>
    <row r="50" spans="10:11" x14ac:dyDescent="0.3">
      <c r="J50" s="8" t="s">
        <v>105</v>
      </c>
      <c r="K50">
        <v>170</v>
      </c>
    </row>
    <row r="51" spans="10:11" x14ac:dyDescent="0.3">
      <c r="J51" s="8" t="s">
        <v>106</v>
      </c>
      <c r="K51">
        <v>130</v>
      </c>
    </row>
    <row r="52" spans="10:11" x14ac:dyDescent="0.3">
      <c r="J52" s="8" t="s">
        <v>107</v>
      </c>
      <c r="K52">
        <v>240</v>
      </c>
    </row>
    <row r="53" spans="10:11" x14ac:dyDescent="0.3">
      <c r="J53" s="8" t="s">
        <v>108</v>
      </c>
      <c r="K53">
        <v>220</v>
      </c>
    </row>
    <row r="54" spans="10:11" x14ac:dyDescent="0.3">
      <c r="J54" s="8" t="s">
        <v>109</v>
      </c>
      <c r="K54">
        <v>230</v>
      </c>
    </row>
    <row r="55" spans="10:11" x14ac:dyDescent="0.3">
      <c r="J55" s="8" t="s">
        <v>110</v>
      </c>
      <c r="K55">
        <v>184</v>
      </c>
    </row>
    <row r="56" spans="10:11" x14ac:dyDescent="0.3">
      <c r="J56" s="8" t="s">
        <v>111</v>
      </c>
      <c r="K56">
        <v>274</v>
      </c>
    </row>
    <row r="57" spans="10:11" x14ac:dyDescent="0.3">
      <c r="J57" s="8" t="s">
        <v>112</v>
      </c>
      <c r="K57">
        <v>252</v>
      </c>
    </row>
    <row r="58" spans="10:11" x14ac:dyDescent="0.3">
      <c r="J58" s="8" t="s">
        <v>113</v>
      </c>
      <c r="K58">
        <v>241</v>
      </c>
    </row>
    <row r="59" spans="10:11" x14ac:dyDescent="0.3">
      <c r="J59" s="8" t="s">
        <v>114</v>
      </c>
      <c r="K59">
        <v>160</v>
      </c>
    </row>
    <row r="60" spans="10:11" x14ac:dyDescent="0.3">
      <c r="J60" s="8" t="s">
        <v>115</v>
      </c>
      <c r="K60">
        <v>1571</v>
      </c>
    </row>
    <row r="61" spans="10:11" x14ac:dyDescent="0.3">
      <c r="J61" s="8" t="s">
        <v>116</v>
      </c>
      <c r="K61">
        <v>174</v>
      </c>
    </row>
    <row r="62" spans="10:11" x14ac:dyDescent="0.3">
      <c r="J62" s="8" t="s">
        <v>117</v>
      </c>
      <c r="K62">
        <v>560</v>
      </c>
    </row>
    <row r="63" spans="10:11" x14ac:dyDescent="0.3">
      <c r="J63" s="8" t="s">
        <v>118</v>
      </c>
      <c r="K63">
        <v>130</v>
      </c>
    </row>
    <row r="64" spans="10:11" x14ac:dyDescent="0.3">
      <c r="J64" s="8" t="s">
        <v>119</v>
      </c>
      <c r="K64">
        <v>90</v>
      </c>
    </row>
    <row r="65" spans="10:11" x14ac:dyDescent="0.3">
      <c r="J65" s="8" t="s">
        <v>120</v>
      </c>
      <c r="K65">
        <v>3974</v>
      </c>
    </row>
    <row r="66" spans="10:11" x14ac:dyDescent="0.3">
      <c r="J66" s="8" t="s">
        <v>121</v>
      </c>
      <c r="K66">
        <v>170</v>
      </c>
    </row>
    <row r="67" spans="10:11" x14ac:dyDescent="0.3">
      <c r="J67" s="8" t="s">
        <v>122</v>
      </c>
      <c r="K67">
        <v>194</v>
      </c>
    </row>
    <row r="68" spans="10:11" x14ac:dyDescent="0.3">
      <c r="J68" s="8" t="s">
        <v>123</v>
      </c>
      <c r="K68">
        <v>163</v>
      </c>
    </row>
    <row r="69" spans="10:11" x14ac:dyDescent="0.3">
      <c r="J69" s="8" t="s">
        <v>124</v>
      </c>
      <c r="K69">
        <v>1341</v>
      </c>
    </row>
    <row r="70" spans="10:11" x14ac:dyDescent="0.3">
      <c r="J70" s="8" t="s">
        <v>125</v>
      </c>
      <c r="K70">
        <v>184</v>
      </c>
    </row>
    <row r="71" spans="10:11" x14ac:dyDescent="0.3">
      <c r="J71" s="8" t="s">
        <v>126</v>
      </c>
      <c r="K71">
        <v>110</v>
      </c>
    </row>
    <row r="72" spans="10:11" x14ac:dyDescent="0.3">
      <c r="J72" s="8" t="s">
        <v>136</v>
      </c>
      <c r="K72">
        <v>220</v>
      </c>
    </row>
    <row r="73" spans="10:11" x14ac:dyDescent="0.3">
      <c r="J73" s="8" t="s">
        <v>137</v>
      </c>
      <c r="K73">
        <v>104</v>
      </c>
    </row>
    <row r="74" spans="10:11" x14ac:dyDescent="0.3">
      <c r="J74" s="8" t="s">
        <v>138</v>
      </c>
      <c r="K74">
        <v>290</v>
      </c>
    </row>
    <row r="75" spans="10:11" x14ac:dyDescent="0.3">
      <c r="J75" s="8" t="s">
        <v>139</v>
      </c>
      <c r="K75">
        <v>190</v>
      </c>
    </row>
    <row r="76" spans="10:11" x14ac:dyDescent="0.3">
      <c r="J76" s="8" t="s">
        <v>140</v>
      </c>
      <c r="K76">
        <v>220</v>
      </c>
    </row>
    <row r="77" spans="10:11" x14ac:dyDescent="0.3">
      <c r="J77" s="8" t="s">
        <v>141</v>
      </c>
      <c r="K77">
        <v>190</v>
      </c>
    </row>
    <row r="78" spans="10:11" x14ac:dyDescent="0.3">
      <c r="J78" s="8" t="s">
        <v>142</v>
      </c>
      <c r="K78">
        <v>524</v>
      </c>
    </row>
    <row r="79" spans="10:11" x14ac:dyDescent="0.3">
      <c r="J79" s="8" t="s">
        <v>127</v>
      </c>
      <c r="K79">
        <v>403</v>
      </c>
    </row>
    <row r="80" spans="10:11" x14ac:dyDescent="0.3">
      <c r="J80" s="8" t="s">
        <v>128</v>
      </c>
      <c r="K80">
        <v>1247</v>
      </c>
    </row>
    <row r="81" spans="10:11" x14ac:dyDescent="0.3">
      <c r="J81" s="8" t="s">
        <v>74</v>
      </c>
      <c r="K81">
        <v>199</v>
      </c>
    </row>
    <row r="82" spans="10:11" x14ac:dyDescent="0.3">
      <c r="J82" s="8" t="s">
        <v>76</v>
      </c>
      <c r="K82">
        <v>209</v>
      </c>
    </row>
    <row r="83" spans="10:11" x14ac:dyDescent="0.3">
      <c r="J83" s="8" t="s">
        <v>77</v>
      </c>
      <c r="K83">
        <v>199</v>
      </c>
    </row>
    <row r="84" spans="10:11" x14ac:dyDescent="0.3">
      <c r="J84" s="8" t="s">
        <v>79</v>
      </c>
      <c r="K84">
        <v>249</v>
      </c>
    </row>
    <row r="85" spans="10:11" x14ac:dyDescent="0.3">
      <c r="J85" s="8" t="s">
        <v>81</v>
      </c>
      <c r="K85">
        <v>2579</v>
      </c>
    </row>
    <row r="86" spans="10:11" x14ac:dyDescent="0.3">
      <c r="J86" s="8" t="s">
        <v>83</v>
      </c>
      <c r="K86">
        <v>279</v>
      </c>
    </row>
    <row r="87" spans="10:11" x14ac:dyDescent="0.3">
      <c r="J87" s="8" t="s">
        <v>53</v>
      </c>
      <c r="K87">
        <v>52348</v>
      </c>
    </row>
  </sheetData>
  <phoneticPr fontId="3" type="noConversion"/>
  <conditionalFormatting sqref="D30:F34">
    <cfRule type="expression" dxfId="6" priority="1">
      <formula>TEXT(D30,"mmmm")&lt;&gt;#REF!</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04CA0-08C8-41B5-8881-F6EFA44FA304}">
  <dimension ref="A1:N136"/>
  <sheetViews>
    <sheetView tabSelected="1" workbookViewId="0">
      <selection sqref="A1:N136"/>
    </sheetView>
  </sheetViews>
  <sheetFormatPr defaultRowHeight="14.4" x14ac:dyDescent="0.3"/>
  <sheetData>
    <row r="1" spans="1:14" x14ac:dyDescent="0.3">
      <c r="A1" s="10" t="s">
        <v>0</v>
      </c>
      <c r="B1" s="5" t="s">
        <v>25</v>
      </c>
      <c r="C1" s="5" t="s">
        <v>26</v>
      </c>
      <c r="D1" s="5" t="s">
        <v>1</v>
      </c>
      <c r="E1" s="5" t="s">
        <v>2</v>
      </c>
      <c r="F1" s="5" t="s">
        <v>27</v>
      </c>
      <c r="G1" s="5" t="s">
        <v>28</v>
      </c>
      <c r="H1" s="5" t="s">
        <v>7</v>
      </c>
      <c r="I1" s="5" t="s">
        <v>3</v>
      </c>
      <c r="J1" s="6" t="s">
        <v>36</v>
      </c>
      <c r="K1" s="6" t="s">
        <v>8</v>
      </c>
      <c r="L1" s="6" t="s">
        <v>12</v>
      </c>
      <c r="M1" s="6" t="s">
        <v>6</v>
      </c>
      <c r="N1" s="6" t="s">
        <v>29</v>
      </c>
    </row>
    <row r="2" spans="1:14" x14ac:dyDescent="0.3">
      <c r="A2" s="4">
        <v>45283</v>
      </c>
      <c r="B2" s="3" t="s">
        <v>37</v>
      </c>
      <c r="C2" s="3" t="s">
        <v>22</v>
      </c>
      <c r="D2" t="s">
        <v>30</v>
      </c>
      <c r="E2">
        <v>25677</v>
      </c>
      <c r="F2" t="s">
        <v>11</v>
      </c>
      <c r="G2" t="s">
        <v>8</v>
      </c>
      <c r="H2" t="s">
        <v>31</v>
      </c>
      <c r="I2" t="s">
        <v>31</v>
      </c>
      <c r="J2" s="7">
        <v>31678</v>
      </c>
      <c r="K2" s="7">
        <v>25348</v>
      </c>
      <c r="L2" s="7">
        <v>6313</v>
      </c>
      <c r="M2" s="7">
        <v>17</v>
      </c>
      <c r="N2" s="7">
        <v>0</v>
      </c>
    </row>
    <row r="3" spans="1:14" x14ac:dyDescent="0.3">
      <c r="A3" s="4">
        <v>45284</v>
      </c>
      <c r="B3" s="3" t="s">
        <v>37</v>
      </c>
      <c r="C3" s="3" t="s">
        <v>21</v>
      </c>
      <c r="D3" t="s">
        <v>16</v>
      </c>
      <c r="E3">
        <v>199</v>
      </c>
      <c r="F3" t="s">
        <v>5</v>
      </c>
      <c r="G3" t="s">
        <v>12</v>
      </c>
      <c r="H3" t="s">
        <v>31</v>
      </c>
      <c r="I3" t="s">
        <v>31</v>
      </c>
      <c r="J3" s="7">
        <v>31479</v>
      </c>
      <c r="K3" s="7">
        <v>25348</v>
      </c>
      <c r="L3" s="7">
        <v>6114</v>
      </c>
      <c r="M3" s="7">
        <v>17</v>
      </c>
      <c r="N3" s="7">
        <v>0</v>
      </c>
    </row>
    <row r="4" spans="1:14" x14ac:dyDescent="0.3">
      <c r="A4" s="4">
        <v>45284</v>
      </c>
      <c r="B4" s="3" t="s">
        <v>37</v>
      </c>
      <c r="C4" s="3" t="s">
        <v>21</v>
      </c>
      <c r="D4" t="s">
        <v>4</v>
      </c>
      <c r="E4">
        <v>204</v>
      </c>
      <c r="F4" t="s">
        <v>5</v>
      </c>
      <c r="G4" t="s">
        <v>8</v>
      </c>
      <c r="H4" t="s">
        <v>31</v>
      </c>
      <c r="I4" t="s">
        <v>31</v>
      </c>
      <c r="J4" s="7">
        <v>31275</v>
      </c>
      <c r="K4" s="7">
        <v>25144</v>
      </c>
      <c r="L4" s="7">
        <v>6114</v>
      </c>
      <c r="M4" s="7">
        <v>17</v>
      </c>
      <c r="N4" s="7">
        <v>0</v>
      </c>
    </row>
    <row r="5" spans="1:14" x14ac:dyDescent="0.3">
      <c r="A5" s="4">
        <v>45285</v>
      </c>
      <c r="B5" s="3" t="s">
        <v>37</v>
      </c>
      <c r="C5" s="3" t="s">
        <v>20</v>
      </c>
      <c r="D5" t="s">
        <v>4</v>
      </c>
      <c r="E5">
        <v>219</v>
      </c>
      <c r="F5" t="s">
        <v>5</v>
      </c>
      <c r="G5" t="s">
        <v>8</v>
      </c>
      <c r="H5" t="s">
        <v>31</v>
      </c>
      <c r="I5" t="s">
        <v>31</v>
      </c>
      <c r="J5" s="7">
        <v>31056</v>
      </c>
      <c r="K5" s="7">
        <v>24925</v>
      </c>
      <c r="L5" s="7">
        <v>6114</v>
      </c>
      <c r="M5" s="7">
        <v>17</v>
      </c>
      <c r="N5" s="7">
        <v>0</v>
      </c>
    </row>
    <row r="6" spans="1:14" x14ac:dyDescent="0.3">
      <c r="A6" s="4">
        <v>45285</v>
      </c>
      <c r="B6" s="3" t="s">
        <v>37</v>
      </c>
      <c r="C6" s="3" t="s">
        <v>20</v>
      </c>
      <c r="D6" t="s">
        <v>13</v>
      </c>
      <c r="E6">
        <v>1028</v>
      </c>
      <c r="F6" t="s">
        <v>5</v>
      </c>
      <c r="G6" t="s">
        <v>8</v>
      </c>
      <c r="H6" t="s">
        <v>31</v>
      </c>
      <c r="I6" t="s">
        <v>31</v>
      </c>
      <c r="J6" s="7">
        <v>30028</v>
      </c>
      <c r="K6" s="7">
        <v>23897</v>
      </c>
      <c r="L6" s="7">
        <v>6114</v>
      </c>
      <c r="M6" s="7">
        <v>17</v>
      </c>
      <c r="N6" s="7">
        <v>0</v>
      </c>
    </row>
    <row r="7" spans="1:14" x14ac:dyDescent="0.3">
      <c r="A7" s="4">
        <v>45286</v>
      </c>
      <c r="B7" s="3" t="s">
        <v>37</v>
      </c>
      <c r="C7" s="3" t="s">
        <v>19</v>
      </c>
      <c r="D7" t="s">
        <v>4</v>
      </c>
      <c r="E7">
        <v>199</v>
      </c>
      <c r="F7" t="s">
        <v>5</v>
      </c>
      <c r="G7" t="s">
        <v>6</v>
      </c>
      <c r="H7" t="s">
        <v>31</v>
      </c>
      <c r="I7" t="s">
        <v>31</v>
      </c>
      <c r="J7" s="7">
        <v>29829</v>
      </c>
      <c r="K7" s="7">
        <v>23897</v>
      </c>
      <c r="L7" s="7">
        <v>6114</v>
      </c>
      <c r="M7" s="7">
        <v>-182</v>
      </c>
      <c r="N7" s="7">
        <v>0</v>
      </c>
    </row>
    <row r="8" spans="1:14" x14ac:dyDescent="0.3">
      <c r="A8" s="4">
        <v>45286</v>
      </c>
      <c r="B8" s="3" t="s">
        <v>37</v>
      </c>
      <c r="C8" s="3" t="s">
        <v>19</v>
      </c>
      <c r="D8" t="s">
        <v>7</v>
      </c>
      <c r="E8">
        <v>1992</v>
      </c>
      <c r="F8" t="s">
        <v>7</v>
      </c>
      <c r="G8" t="s">
        <v>8</v>
      </c>
      <c r="H8" t="s">
        <v>6</v>
      </c>
      <c r="I8" t="s">
        <v>31</v>
      </c>
      <c r="J8" s="7">
        <v>29829</v>
      </c>
      <c r="K8" s="7">
        <v>21905</v>
      </c>
      <c r="L8" s="7">
        <v>6114</v>
      </c>
      <c r="M8" s="7">
        <v>1810</v>
      </c>
      <c r="N8" s="7">
        <v>0</v>
      </c>
    </row>
    <row r="9" spans="1:14" x14ac:dyDescent="0.3">
      <c r="A9" s="4">
        <v>45287</v>
      </c>
      <c r="B9" s="3" t="s">
        <v>37</v>
      </c>
      <c r="C9" s="3" t="s">
        <v>18</v>
      </c>
      <c r="D9" t="s">
        <v>4</v>
      </c>
      <c r="E9">
        <v>209</v>
      </c>
      <c r="F9" t="s">
        <v>5</v>
      </c>
      <c r="G9" t="s">
        <v>6</v>
      </c>
      <c r="H9" t="s">
        <v>31</v>
      </c>
      <c r="I9" t="s">
        <v>31</v>
      </c>
      <c r="J9" s="7">
        <v>29620</v>
      </c>
      <c r="K9" s="7">
        <v>21905</v>
      </c>
      <c r="L9" s="7">
        <v>6114</v>
      </c>
      <c r="M9" s="7">
        <v>1601</v>
      </c>
      <c r="N9" s="7">
        <v>0</v>
      </c>
    </row>
    <row r="10" spans="1:14" x14ac:dyDescent="0.3">
      <c r="A10" s="4">
        <v>45288</v>
      </c>
      <c r="B10" s="3" t="s">
        <v>37</v>
      </c>
      <c r="C10" s="3" t="s">
        <v>17</v>
      </c>
      <c r="D10" t="s">
        <v>4</v>
      </c>
      <c r="E10">
        <v>199</v>
      </c>
      <c r="F10" t="s">
        <v>5</v>
      </c>
      <c r="G10" t="s">
        <v>6</v>
      </c>
      <c r="H10" t="s">
        <v>31</v>
      </c>
      <c r="I10" t="s">
        <v>31</v>
      </c>
      <c r="J10" s="7">
        <v>29421</v>
      </c>
      <c r="K10" s="7">
        <v>21905</v>
      </c>
      <c r="L10" s="7">
        <v>6114</v>
      </c>
      <c r="M10" s="7">
        <v>1402</v>
      </c>
      <c r="N10" s="7">
        <v>0</v>
      </c>
    </row>
    <row r="11" spans="1:14" x14ac:dyDescent="0.3">
      <c r="A11" s="4">
        <v>45289</v>
      </c>
      <c r="B11" s="3" t="s">
        <v>37</v>
      </c>
      <c r="C11" s="3" t="s">
        <v>23</v>
      </c>
      <c r="D11" t="s">
        <v>4</v>
      </c>
      <c r="E11">
        <v>249</v>
      </c>
      <c r="F11" t="s">
        <v>5</v>
      </c>
      <c r="G11" t="s">
        <v>6</v>
      </c>
      <c r="H11" t="s">
        <v>31</v>
      </c>
      <c r="I11" t="s">
        <v>31</v>
      </c>
      <c r="J11" s="7">
        <v>29172</v>
      </c>
      <c r="K11" s="7">
        <v>21905</v>
      </c>
      <c r="L11" s="7">
        <v>6114</v>
      </c>
      <c r="M11" s="7">
        <v>1153</v>
      </c>
      <c r="N11" s="7">
        <v>0</v>
      </c>
    </row>
    <row r="12" spans="1:14" x14ac:dyDescent="0.3">
      <c r="A12" s="4">
        <v>45290</v>
      </c>
      <c r="B12" s="3" t="s">
        <v>37</v>
      </c>
      <c r="C12" s="3" t="s">
        <v>22</v>
      </c>
      <c r="D12" t="s">
        <v>4</v>
      </c>
      <c r="E12">
        <v>79</v>
      </c>
      <c r="F12" t="s">
        <v>5</v>
      </c>
      <c r="G12" t="s">
        <v>6</v>
      </c>
      <c r="H12" t="s">
        <v>31</v>
      </c>
      <c r="I12" t="s">
        <v>31</v>
      </c>
      <c r="J12" s="7">
        <v>29093</v>
      </c>
      <c r="K12" s="7">
        <v>21905</v>
      </c>
      <c r="L12" s="7">
        <v>6114</v>
      </c>
      <c r="M12" s="7">
        <v>1074</v>
      </c>
      <c r="N12" s="7">
        <v>0</v>
      </c>
    </row>
    <row r="13" spans="1:14" x14ac:dyDescent="0.3">
      <c r="A13" s="4">
        <v>45290</v>
      </c>
      <c r="B13" s="3" t="s">
        <v>37</v>
      </c>
      <c r="C13" s="3" t="s">
        <v>22</v>
      </c>
      <c r="D13" t="s">
        <v>32</v>
      </c>
      <c r="E13">
        <v>2500</v>
      </c>
      <c r="F13" t="s">
        <v>5</v>
      </c>
      <c r="G13" t="s">
        <v>8</v>
      </c>
      <c r="H13" t="s">
        <v>31</v>
      </c>
      <c r="I13" t="s">
        <v>31</v>
      </c>
      <c r="J13" s="7">
        <v>26593</v>
      </c>
      <c r="K13" s="7">
        <v>19405</v>
      </c>
      <c r="L13" s="7">
        <v>6114</v>
      </c>
      <c r="M13" s="7">
        <v>1074</v>
      </c>
      <c r="N13" s="7">
        <v>0</v>
      </c>
    </row>
    <row r="14" spans="1:14" x14ac:dyDescent="0.3">
      <c r="A14" s="4">
        <v>45291</v>
      </c>
      <c r="B14" s="3" t="s">
        <v>37</v>
      </c>
      <c r="C14" s="3" t="s">
        <v>21</v>
      </c>
      <c r="D14" t="s">
        <v>4</v>
      </c>
      <c r="E14">
        <v>279</v>
      </c>
      <c r="F14" t="s">
        <v>5</v>
      </c>
      <c r="G14" t="s">
        <v>6</v>
      </c>
      <c r="H14" t="s">
        <v>31</v>
      </c>
      <c r="I14" t="s">
        <v>31</v>
      </c>
      <c r="J14" s="7">
        <v>26314</v>
      </c>
      <c r="K14" s="7">
        <v>19405</v>
      </c>
      <c r="L14" s="7">
        <v>6114</v>
      </c>
      <c r="M14" s="7">
        <v>795</v>
      </c>
      <c r="N14" s="7">
        <v>0</v>
      </c>
    </row>
    <row r="15" spans="1:14" x14ac:dyDescent="0.3">
      <c r="A15" s="4">
        <v>45292</v>
      </c>
      <c r="B15" s="3" t="s">
        <v>38</v>
      </c>
      <c r="C15" s="3" t="s">
        <v>20</v>
      </c>
      <c r="D15" t="s">
        <v>7</v>
      </c>
      <c r="E15">
        <v>1962</v>
      </c>
      <c r="F15" t="s">
        <v>7</v>
      </c>
      <c r="G15" t="s">
        <v>8</v>
      </c>
      <c r="H15" t="s">
        <v>6</v>
      </c>
      <c r="I15" t="s">
        <v>31</v>
      </c>
      <c r="J15" s="7">
        <v>26314</v>
      </c>
      <c r="K15" s="7">
        <v>17443</v>
      </c>
      <c r="L15" s="7">
        <v>6114</v>
      </c>
      <c r="M15" s="7">
        <v>2757</v>
      </c>
      <c r="N15" s="7">
        <v>0</v>
      </c>
    </row>
    <row r="16" spans="1:14" x14ac:dyDescent="0.3">
      <c r="A16" s="4">
        <v>45292</v>
      </c>
      <c r="B16" s="3" t="s">
        <v>38</v>
      </c>
      <c r="C16" s="3" t="s">
        <v>20</v>
      </c>
      <c r="D16" t="s">
        <v>4</v>
      </c>
      <c r="E16">
        <v>569</v>
      </c>
      <c r="F16" t="s">
        <v>5</v>
      </c>
      <c r="G16" t="s">
        <v>6</v>
      </c>
      <c r="H16" t="s">
        <v>31</v>
      </c>
      <c r="I16" t="s">
        <v>31</v>
      </c>
      <c r="J16" s="7">
        <v>25745</v>
      </c>
      <c r="K16" s="7">
        <v>17443</v>
      </c>
      <c r="L16" s="7">
        <v>6114</v>
      </c>
      <c r="M16" s="7">
        <v>2188</v>
      </c>
      <c r="N16" s="7">
        <v>0</v>
      </c>
    </row>
    <row r="17" spans="1:14" x14ac:dyDescent="0.3">
      <c r="A17" s="4">
        <v>45293</v>
      </c>
      <c r="B17" s="3" t="s">
        <v>38</v>
      </c>
      <c r="C17" s="3" t="s">
        <v>19</v>
      </c>
      <c r="D17" t="s">
        <v>4</v>
      </c>
      <c r="E17">
        <v>239</v>
      </c>
      <c r="F17" t="s">
        <v>5</v>
      </c>
      <c r="G17" t="s">
        <v>6</v>
      </c>
      <c r="H17" t="s">
        <v>31</v>
      </c>
      <c r="I17" t="s">
        <v>31</v>
      </c>
      <c r="J17" s="7">
        <v>25506</v>
      </c>
      <c r="K17" s="7">
        <v>17443</v>
      </c>
      <c r="L17" s="7">
        <v>6114</v>
      </c>
      <c r="M17" s="7">
        <v>1949</v>
      </c>
      <c r="N17" s="7">
        <v>0</v>
      </c>
    </row>
    <row r="18" spans="1:14" x14ac:dyDescent="0.3">
      <c r="A18" s="4">
        <v>45294</v>
      </c>
      <c r="B18" s="3" t="s">
        <v>38</v>
      </c>
      <c r="C18" s="3" t="s">
        <v>18</v>
      </c>
      <c r="D18" t="s">
        <v>4</v>
      </c>
      <c r="E18">
        <v>219</v>
      </c>
      <c r="F18" t="s">
        <v>5</v>
      </c>
      <c r="G18" t="s">
        <v>6</v>
      </c>
      <c r="H18" t="s">
        <v>31</v>
      </c>
      <c r="I18" t="s">
        <v>31</v>
      </c>
      <c r="J18" s="7">
        <v>25287</v>
      </c>
      <c r="K18" s="7">
        <v>17443</v>
      </c>
      <c r="L18" s="7">
        <v>6114</v>
      </c>
      <c r="M18" s="7">
        <v>1730</v>
      </c>
      <c r="N18" s="7">
        <v>0</v>
      </c>
    </row>
    <row r="19" spans="1:14" x14ac:dyDescent="0.3">
      <c r="A19" s="4">
        <v>45295</v>
      </c>
      <c r="B19" s="3" t="s">
        <v>38</v>
      </c>
      <c r="C19" s="3" t="s">
        <v>17</v>
      </c>
      <c r="D19" t="s">
        <v>4</v>
      </c>
      <c r="E19">
        <v>294</v>
      </c>
      <c r="F19" t="s">
        <v>5</v>
      </c>
      <c r="G19" t="s">
        <v>6</v>
      </c>
      <c r="H19" t="s">
        <v>31</v>
      </c>
      <c r="I19" t="s">
        <v>31</v>
      </c>
      <c r="J19" s="7">
        <v>24993</v>
      </c>
      <c r="K19" s="7">
        <v>17443</v>
      </c>
      <c r="L19" s="7">
        <v>6114</v>
      </c>
      <c r="M19" s="7">
        <v>1436</v>
      </c>
      <c r="N19" s="7">
        <v>0</v>
      </c>
    </row>
    <row r="20" spans="1:14" x14ac:dyDescent="0.3">
      <c r="A20" s="4">
        <v>45296</v>
      </c>
      <c r="B20" s="3" t="s">
        <v>38</v>
      </c>
      <c r="C20" s="3" t="s">
        <v>23</v>
      </c>
      <c r="D20" t="s">
        <v>4</v>
      </c>
      <c r="E20">
        <v>229</v>
      </c>
      <c r="F20" t="s">
        <v>5</v>
      </c>
      <c r="G20" t="s">
        <v>6</v>
      </c>
      <c r="H20" t="s">
        <v>31</v>
      </c>
      <c r="I20" t="s">
        <v>31</v>
      </c>
      <c r="J20" s="7">
        <v>24764</v>
      </c>
      <c r="K20" s="7">
        <v>17443</v>
      </c>
      <c r="L20" s="7">
        <v>6114</v>
      </c>
      <c r="M20" s="7">
        <v>1207</v>
      </c>
      <c r="N20" s="7">
        <v>0</v>
      </c>
    </row>
    <row r="21" spans="1:14" x14ac:dyDescent="0.3">
      <c r="A21" s="4">
        <v>45297</v>
      </c>
      <c r="B21" s="3" t="s">
        <v>38</v>
      </c>
      <c r="C21" s="3" t="s">
        <v>22</v>
      </c>
      <c r="D21" t="s">
        <v>4</v>
      </c>
      <c r="E21">
        <v>446</v>
      </c>
      <c r="F21" t="s">
        <v>5</v>
      </c>
      <c r="G21" t="s">
        <v>6</v>
      </c>
      <c r="H21" t="s">
        <v>31</v>
      </c>
      <c r="I21" t="s">
        <v>31</v>
      </c>
      <c r="J21" s="7">
        <v>24318</v>
      </c>
      <c r="K21" s="7">
        <v>17443</v>
      </c>
      <c r="L21" s="7">
        <v>6114</v>
      </c>
      <c r="M21" s="7">
        <v>761</v>
      </c>
      <c r="N21" s="7">
        <v>0</v>
      </c>
    </row>
    <row r="22" spans="1:14" x14ac:dyDescent="0.3">
      <c r="A22" s="4">
        <v>45297</v>
      </c>
      <c r="B22" s="3" t="s">
        <v>38</v>
      </c>
      <c r="C22" s="3" t="s">
        <v>22</v>
      </c>
      <c r="D22" t="s">
        <v>13</v>
      </c>
      <c r="E22">
        <v>700</v>
      </c>
      <c r="F22" t="s">
        <v>5</v>
      </c>
      <c r="G22" t="s">
        <v>8</v>
      </c>
      <c r="H22" t="s">
        <v>31</v>
      </c>
      <c r="I22" t="s">
        <v>31</v>
      </c>
      <c r="J22" s="7">
        <v>23618</v>
      </c>
      <c r="K22" s="7">
        <v>16743</v>
      </c>
      <c r="L22" s="7">
        <v>6114</v>
      </c>
      <c r="M22" s="7">
        <v>761</v>
      </c>
      <c r="N22" s="7">
        <v>0</v>
      </c>
    </row>
    <row r="23" spans="1:14" x14ac:dyDescent="0.3">
      <c r="A23" s="4">
        <v>45298</v>
      </c>
      <c r="B23" s="3" t="s">
        <v>38</v>
      </c>
      <c r="C23" s="3" t="s">
        <v>21</v>
      </c>
      <c r="D23" t="s">
        <v>4</v>
      </c>
      <c r="E23">
        <v>478</v>
      </c>
      <c r="F23" t="s">
        <v>5</v>
      </c>
      <c r="G23" t="s">
        <v>6</v>
      </c>
      <c r="H23" t="s">
        <v>31</v>
      </c>
      <c r="I23" t="s">
        <v>31</v>
      </c>
      <c r="J23" s="7">
        <v>23140</v>
      </c>
      <c r="K23" s="7">
        <v>16743</v>
      </c>
      <c r="L23" s="7">
        <v>6114</v>
      </c>
      <c r="M23" s="7">
        <v>283</v>
      </c>
      <c r="N23" s="7">
        <v>0</v>
      </c>
    </row>
    <row r="24" spans="1:14" x14ac:dyDescent="0.3">
      <c r="A24" s="4">
        <v>45299</v>
      </c>
      <c r="B24" s="3" t="s">
        <v>38</v>
      </c>
      <c r="C24" s="3" t="s">
        <v>20</v>
      </c>
      <c r="D24" t="s">
        <v>4</v>
      </c>
      <c r="E24">
        <v>145</v>
      </c>
      <c r="F24" t="s">
        <v>5</v>
      </c>
      <c r="G24" t="s">
        <v>6</v>
      </c>
      <c r="H24" t="s">
        <v>31</v>
      </c>
      <c r="I24" t="s">
        <v>31</v>
      </c>
      <c r="J24" s="7">
        <v>22995</v>
      </c>
      <c r="K24" s="7">
        <v>16743</v>
      </c>
      <c r="L24" s="7">
        <v>6114</v>
      </c>
      <c r="M24" s="7">
        <v>138</v>
      </c>
      <c r="N24" s="7">
        <v>0</v>
      </c>
    </row>
    <row r="25" spans="1:14" x14ac:dyDescent="0.3">
      <c r="A25" s="4">
        <v>45300</v>
      </c>
      <c r="B25" s="3" t="s">
        <v>38</v>
      </c>
      <c r="C25" s="3" t="s">
        <v>19</v>
      </c>
      <c r="D25" t="s">
        <v>14</v>
      </c>
      <c r="E25">
        <v>3500</v>
      </c>
      <c r="F25" t="s">
        <v>5</v>
      </c>
      <c r="G25" t="s">
        <v>8</v>
      </c>
      <c r="H25" t="s">
        <v>31</v>
      </c>
      <c r="I25" t="s">
        <v>31</v>
      </c>
      <c r="J25" s="7">
        <v>19495</v>
      </c>
      <c r="K25" s="7">
        <v>13243</v>
      </c>
      <c r="L25" s="7">
        <v>6114</v>
      </c>
      <c r="M25" s="7">
        <v>138</v>
      </c>
      <c r="N25" s="7">
        <v>0</v>
      </c>
    </row>
    <row r="26" spans="1:14" x14ac:dyDescent="0.3">
      <c r="A26" s="4">
        <v>45300</v>
      </c>
      <c r="B26" s="3" t="s">
        <v>38</v>
      </c>
      <c r="C26" s="3" t="s">
        <v>19</v>
      </c>
      <c r="D26" t="s">
        <v>4</v>
      </c>
      <c r="E26">
        <v>204</v>
      </c>
      <c r="F26" t="s">
        <v>5</v>
      </c>
      <c r="G26" t="s">
        <v>6</v>
      </c>
      <c r="H26" t="s">
        <v>31</v>
      </c>
      <c r="I26" t="s">
        <v>31</v>
      </c>
      <c r="J26" s="7">
        <v>19291</v>
      </c>
      <c r="K26" s="7">
        <v>13243</v>
      </c>
      <c r="L26" s="7">
        <v>6114</v>
      </c>
      <c r="M26" s="7">
        <v>-66</v>
      </c>
      <c r="N26" s="7">
        <v>0</v>
      </c>
    </row>
    <row r="27" spans="1:14" x14ac:dyDescent="0.3">
      <c r="A27" s="4">
        <v>45300</v>
      </c>
      <c r="B27" s="3" t="s">
        <v>38</v>
      </c>
      <c r="C27" s="3" t="s">
        <v>19</v>
      </c>
      <c r="D27" t="s">
        <v>7</v>
      </c>
      <c r="E27">
        <v>1985</v>
      </c>
      <c r="F27" t="s">
        <v>7</v>
      </c>
      <c r="G27" t="s">
        <v>8</v>
      </c>
      <c r="H27" t="s">
        <v>6</v>
      </c>
      <c r="I27" t="s">
        <v>31</v>
      </c>
      <c r="J27" s="7">
        <v>19291</v>
      </c>
      <c r="K27" s="7">
        <v>11258</v>
      </c>
      <c r="L27" s="7">
        <v>6114</v>
      </c>
      <c r="M27" s="7">
        <v>1919</v>
      </c>
      <c r="N27" s="7">
        <v>0</v>
      </c>
    </row>
    <row r="28" spans="1:14" x14ac:dyDescent="0.3">
      <c r="A28" s="4">
        <v>45301</v>
      </c>
      <c r="B28" s="3" t="s">
        <v>38</v>
      </c>
      <c r="C28" s="3" t="s">
        <v>18</v>
      </c>
      <c r="D28" t="s">
        <v>4</v>
      </c>
      <c r="E28">
        <v>234</v>
      </c>
      <c r="F28" t="s">
        <v>5</v>
      </c>
      <c r="G28" t="s">
        <v>6</v>
      </c>
      <c r="H28" t="s">
        <v>31</v>
      </c>
      <c r="I28" t="s">
        <v>31</v>
      </c>
      <c r="J28" s="7">
        <v>19057</v>
      </c>
      <c r="K28" s="7">
        <v>11258</v>
      </c>
      <c r="L28" s="7">
        <v>6114</v>
      </c>
      <c r="M28" s="7">
        <v>1685</v>
      </c>
      <c r="N28" s="7">
        <v>0</v>
      </c>
    </row>
    <row r="29" spans="1:14" x14ac:dyDescent="0.3">
      <c r="A29" s="4">
        <v>45302</v>
      </c>
      <c r="B29" s="3" t="s">
        <v>38</v>
      </c>
      <c r="C29" s="3" t="s">
        <v>17</v>
      </c>
      <c r="D29" t="s">
        <v>4</v>
      </c>
      <c r="E29">
        <v>250</v>
      </c>
      <c r="F29" t="s">
        <v>5</v>
      </c>
      <c r="G29" t="s">
        <v>6</v>
      </c>
      <c r="H29" t="s">
        <v>31</v>
      </c>
      <c r="I29" t="s">
        <v>31</v>
      </c>
      <c r="J29" s="7">
        <v>18807</v>
      </c>
      <c r="K29" s="7">
        <v>11258</v>
      </c>
      <c r="L29" s="7">
        <v>6114</v>
      </c>
      <c r="M29" s="7">
        <v>1435</v>
      </c>
      <c r="N29" s="7">
        <v>0</v>
      </c>
    </row>
    <row r="30" spans="1:14" x14ac:dyDescent="0.3">
      <c r="A30" s="4">
        <v>45303</v>
      </c>
      <c r="B30" s="3" t="s">
        <v>38</v>
      </c>
      <c r="C30" s="3" t="s">
        <v>23</v>
      </c>
      <c r="D30" t="s">
        <v>4</v>
      </c>
      <c r="E30">
        <v>10</v>
      </c>
      <c r="F30" t="s">
        <v>5</v>
      </c>
      <c r="G30" t="s">
        <v>8</v>
      </c>
      <c r="H30" t="s">
        <v>31</v>
      </c>
      <c r="I30" t="s">
        <v>31</v>
      </c>
      <c r="J30" s="7">
        <v>18797</v>
      </c>
      <c r="K30" s="7">
        <v>11248</v>
      </c>
      <c r="L30" s="7">
        <v>6114</v>
      </c>
      <c r="M30" s="7">
        <v>1435</v>
      </c>
      <c r="N30" s="7">
        <v>0</v>
      </c>
    </row>
    <row r="31" spans="1:14" x14ac:dyDescent="0.3">
      <c r="A31" s="4">
        <v>45303</v>
      </c>
      <c r="B31" s="3" t="s">
        <v>38</v>
      </c>
      <c r="C31" s="3" t="s">
        <v>23</v>
      </c>
      <c r="D31" t="s">
        <v>4</v>
      </c>
      <c r="E31">
        <v>254</v>
      </c>
      <c r="F31" t="s">
        <v>5</v>
      </c>
      <c r="G31" t="s">
        <v>6</v>
      </c>
      <c r="H31" t="s">
        <v>31</v>
      </c>
      <c r="I31" t="s">
        <v>31</v>
      </c>
      <c r="J31" s="7">
        <v>18543</v>
      </c>
      <c r="K31" s="7">
        <v>11248</v>
      </c>
      <c r="L31" s="7">
        <v>6114</v>
      </c>
      <c r="M31" s="7">
        <v>1181</v>
      </c>
      <c r="N31" s="7">
        <v>0</v>
      </c>
    </row>
    <row r="32" spans="1:14" x14ac:dyDescent="0.3">
      <c r="A32" s="4">
        <v>45304</v>
      </c>
      <c r="B32" s="3" t="s">
        <v>38</v>
      </c>
      <c r="C32" s="3" t="s">
        <v>22</v>
      </c>
      <c r="D32" t="s">
        <v>16</v>
      </c>
      <c r="E32">
        <v>185</v>
      </c>
      <c r="F32" t="s">
        <v>5</v>
      </c>
      <c r="G32" t="s">
        <v>12</v>
      </c>
      <c r="H32" t="s">
        <v>31</v>
      </c>
      <c r="I32" t="s">
        <v>31</v>
      </c>
      <c r="J32" s="7">
        <v>18358</v>
      </c>
      <c r="K32" s="7">
        <v>11248</v>
      </c>
      <c r="L32" s="7">
        <v>5929</v>
      </c>
      <c r="M32" s="7">
        <v>1181</v>
      </c>
      <c r="N32" s="7">
        <v>0</v>
      </c>
    </row>
    <row r="33" spans="1:14" x14ac:dyDescent="0.3">
      <c r="A33" s="4">
        <v>45304</v>
      </c>
      <c r="B33" s="3" t="s">
        <v>38</v>
      </c>
      <c r="C33" s="3" t="s">
        <v>22</v>
      </c>
      <c r="D33" t="s">
        <v>4</v>
      </c>
      <c r="E33">
        <v>270</v>
      </c>
      <c r="F33" t="s">
        <v>5</v>
      </c>
      <c r="G33" t="s">
        <v>6</v>
      </c>
      <c r="H33" t="s">
        <v>31</v>
      </c>
      <c r="I33" t="s">
        <v>31</v>
      </c>
      <c r="J33" s="7">
        <v>18088</v>
      </c>
      <c r="K33" s="7">
        <v>11248</v>
      </c>
      <c r="L33" s="7">
        <v>5929</v>
      </c>
      <c r="M33" s="7">
        <v>911</v>
      </c>
      <c r="N33" s="7">
        <v>0</v>
      </c>
    </row>
    <row r="34" spans="1:14" x14ac:dyDescent="0.3">
      <c r="A34" s="4">
        <v>45305</v>
      </c>
      <c r="B34" s="3" t="s">
        <v>38</v>
      </c>
      <c r="C34" s="3" t="s">
        <v>21</v>
      </c>
      <c r="D34" t="s">
        <v>4</v>
      </c>
      <c r="E34">
        <v>655</v>
      </c>
      <c r="F34" t="s">
        <v>5</v>
      </c>
      <c r="G34" t="s">
        <v>6</v>
      </c>
      <c r="H34" t="s">
        <v>31</v>
      </c>
      <c r="I34" t="s">
        <v>31</v>
      </c>
      <c r="J34" s="7">
        <v>17433</v>
      </c>
      <c r="K34" s="7">
        <v>11248</v>
      </c>
      <c r="L34" s="7">
        <v>5929</v>
      </c>
      <c r="M34" s="7">
        <v>256</v>
      </c>
      <c r="N34" s="7">
        <v>0</v>
      </c>
    </row>
    <row r="35" spans="1:14" x14ac:dyDescent="0.3">
      <c r="A35" s="4">
        <v>45306</v>
      </c>
      <c r="B35" s="3" t="s">
        <v>38</v>
      </c>
      <c r="C35" s="3" t="s">
        <v>20</v>
      </c>
      <c r="D35" t="s">
        <v>4</v>
      </c>
      <c r="E35">
        <v>250</v>
      </c>
      <c r="F35" t="s">
        <v>5</v>
      </c>
      <c r="G35" t="s">
        <v>6</v>
      </c>
      <c r="H35" t="s">
        <v>31</v>
      </c>
      <c r="I35" t="s">
        <v>31</v>
      </c>
      <c r="J35" s="7">
        <v>17183</v>
      </c>
      <c r="K35" s="7">
        <v>11248</v>
      </c>
      <c r="L35" s="7">
        <v>5929</v>
      </c>
      <c r="M35" s="7">
        <v>6</v>
      </c>
      <c r="N35" s="7">
        <v>0</v>
      </c>
    </row>
    <row r="36" spans="1:14" x14ac:dyDescent="0.3">
      <c r="A36" s="4">
        <v>45306</v>
      </c>
      <c r="B36" s="3" t="s">
        <v>38</v>
      </c>
      <c r="C36" s="3" t="s">
        <v>20</v>
      </c>
      <c r="D36" t="s">
        <v>7</v>
      </c>
      <c r="E36">
        <v>1943</v>
      </c>
      <c r="F36" t="s">
        <v>7</v>
      </c>
      <c r="G36" t="s">
        <v>8</v>
      </c>
      <c r="H36" t="s">
        <v>6</v>
      </c>
      <c r="I36" t="s">
        <v>31</v>
      </c>
      <c r="J36" s="7">
        <v>17183</v>
      </c>
      <c r="K36" s="7">
        <v>9305</v>
      </c>
      <c r="L36" s="7">
        <v>5929</v>
      </c>
      <c r="M36" s="7">
        <v>1949</v>
      </c>
      <c r="N36" s="7">
        <v>0</v>
      </c>
    </row>
    <row r="37" spans="1:14" x14ac:dyDescent="0.3">
      <c r="A37" s="4">
        <v>45306</v>
      </c>
      <c r="B37" s="3" t="s">
        <v>38</v>
      </c>
      <c r="C37" s="3" t="s">
        <v>20</v>
      </c>
      <c r="D37" t="s">
        <v>4</v>
      </c>
      <c r="E37">
        <v>30</v>
      </c>
      <c r="F37" t="s">
        <v>5</v>
      </c>
      <c r="G37" t="s">
        <v>12</v>
      </c>
      <c r="H37" t="s">
        <v>31</v>
      </c>
      <c r="I37" t="s">
        <v>31</v>
      </c>
      <c r="J37" s="7">
        <v>17153</v>
      </c>
      <c r="K37" s="7">
        <v>9305</v>
      </c>
      <c r="L37" s="7">
        <v>5899</v>
      </c>
      <c r="M37" s="7">
        <v>1949</v>
      </c>
      <c r="N37" s="7">
        <v>0</v>
      </c>
    </row>
    <row r="38" spans="1:14" x14ac:dyDescent="0.3">
      <c r="A38" s="4">
        <v>45307</v>
      </c>
      <c r="B38" s="3" t="s">
        <v>38</v>
      </c>
      <c r="C38" s="3" t="s">
        <v>19</v>
      </c>
      <c r="D38" t="s">
        <v>4</v>
      </c>
      <c r="E38">
        <v>279</v>
      </c>
      <c r="F38" t="s">
        <v>5</v>
      </c>
      <c r="G38" t="s">
        <v>6</v>
      </c>
      <c r="H38" t="s">
        <v>31</v>
      </c>
      <c r="I38" t="s">
        <v>31</v>
      </c>
      <c r="J38" s="7">
        <v>16874</v>
      </c>
      <c r="K38" s="7">
        <v>9305</v>
      </c>
      <c r="L38" s="7">
        <v>5899</v>
      </c>
      <c r="M38" s="7">
        <v>1670</v>
      </c>
      <c r="N38" s="7">
        <v>0</v>
      </c>
    </row>
    <row r="39" spans="1:14" x14ac:dyDescent="0.3">
      <c r="A39" s="4">
        <v>45308</v>
      </c>
      <c r="B39" s="3" t="s">
        <v>38</v>
      </c>
      <c r="C39" s="3" t="s">
        <v>18</v>
      </c>
      <c r="D39" t="s">
        <v>4</v>
      </c>
      <c r="E39">
        <v>194</v>
      </c>
      <c r="F39" t="s">
        <v>5</v>
      </c>
      <c r="G39" t="s">
        <v>6</v>
      </c>
      <c r="H39" t="s">
        <v>31</v>
      </c>
      <c r="I39" t="s">
        <v>31</v>
      </c>
      <c r="J39" s="7">
        <v>16680</v>
      </c>
      <c r="K39" s="7">
        <v>9305</v>
      </c>
      <c r="L39" s="7">
        <v>5899</v>
      </c>
      <c r="M39" s="7">
        <v>1476</v>
      </c>
      <c r="N39" s="7">
        <v>0</v>
      </c>
    </row>
    <row r="40" spans="1:14" x14ac:dyDescent="0.3">
      <c r="A40" s="4">
        <v>45308</v>
      </c>
      <c r="B40" s="3" t="s">
        <v>38</v>
      </c>
      <c r="C40" s="3" t="s">
        <v>18</v>
      </c>
      <c r="D40" t="s">
        <v>33</v>
      </c>
      <c r="E40">
        <v>620</v>
      </c>
      <c r="F40" t="s">
        <v>5</v>
      </c>
      <c r="G40" t="s">
        <v>6</v>
      </c>
      <c r="H40" t="s">
        <v>31</v>
      </c>
      <c r="I40" t="s">
        <v>31</v>
      </c>
      <c r="J40" s="7">
        <v>16060</v>
      </c>
      <c r="K40" s="7">
        <v>9305</v>
      </c>
      <c r="L40" s="7">
        <v>5899</v>
      </c>
      <c r="M40" s="7">
        <v>856</v>
      </c>
      <c r="N40" s="7">
        <v>0</v>
      </c>
    </row>
    <row r="41" spans="1:14" x14ac:dyDescent="0.3">
      <c r="A41" s="4">
        <v>45309</v>
      </c>
      <c r="B41" s="3" t="s">
        <v>38</v>
      </c>
      <c r="C41" s="3" t="s">
        <v>17</v>
      </c>
      <c r="D41" t="s">
        <v>13</v>
      </c>
      <c r="E41">
        <v>945</v>
      </c>
      <c r="F41" t="s">
        <v>5</v>
      </c>
      <c r="G41" t="s">
        <v>8</v>
      </c>
      <c r="H41" t="s">
        <v>31</v>
      </c>
      <c r="I41" t="s">
        <v>31</v>
      </c>
      <c r="J41" s="7">
        <v>15115</v>
      </c>
      <c r="K41" s="7">
        <v>8360</v>
      </c>
      <c r="L41" s="7">
        <v>5899</v>
      </c>
      <c r="M41" s="7">
        <v>856</v>
      </c>
      <c r="N41" s="7">
        <v>0</v>
      </c>
    </row>
    <row r="42" spans="1:14" x14ac:dyDescent="0.3">
      <c r="A42" s="4">
        <v>45309</v>
      </c>
      <c r="B42" s="3" t="s">
        <v>38</v>
      </c>
      <c r="C42" s="3" t="s">
        <v>17</v>
      </c>
      <c r="D42" t="s">
        <v>34</v>
      </c>
      <c r="E42">
        <v>39</v>
      </c>
      <c r="F42" t="s">
        <v>5</v>
      </c>
      <c r="G42" t="s">
        <v>6</v>
      </c>
      <c r="H42" t="s">
        <v>31</v>
      </c>
      <c r="I42" t="s">
        <v>31</v>
      </c>
      <c r="J42" s="7">
        <v>15076</v>
      </c>
      <c r="K42" s="7">
        <v>8360</v>
      </c>
      <c r="L42" s="7">
        <v>5899</v>
      </c>
      <c r="M42" s="7">
        <v>817</v>
      </c>
      <c r="N42" s="7">
        <v>0</v>
      </c>
    </row>
    <row r="43" spans="1:14" x14ac:dyDescent="0.3">
      <c r="A43" s="4">
        <v>45309</v>
      </c>
      <c r="B43" s="3" t="s">
        <v>38</v>
      </c>
      <c r="C43" s="3" t="s">
        <v>17</v>
      </c>
      <c r="D43" t="s">
        <v>4</v>
      </c>
      <c r="E43">
        <v>350</v>
      </c>
      <c r="F43" t="s">
        <v>5</v>
      </c>
      <c r="G43" t="s">
        <v>6</v>
      </c>
      <c r="H43" t="s">
        <v>31</v>
      </c>
      <c r="I43" t="s">
        <v>31</v>
      </c>
      <c r="J43" s="7">
        <v>14726</v>
      </c>
      <c r="K43" s="7">
        <v>8360</v>
      </c>
      <c r="L43" s="7">
        <v>5899</v>
      </c>
      <c r="M43" s="7">
        <v>467</v>
      </c>
      <c r="N43" s="7">
        <v>0</v>
      </c>
    </row>
    <row r="44" spans="1:14" x14ac:dyDescent="0.3">
      <c r="A44" s="4">
        <v>45310</v>
      </c>
      <c r="B44" s="3" t="s">
        <v>38</v>
      </c>
      <c r="C44" s="3" t="s">
        <v>23</v>
      </c>
      <c r="D44" t="s">
        <v>4</v>
      </c>
      <c r="E44">
        <v>169</v>
      </c>
      <c r="F44" t="s">
        <v>5</v>
      </c>
      <c r="G44" t="s">
        <v>6</v>
      </c>
      <c r="H44" t="s">
        <v>31</v>
      </c>
      <c r="I44" t="s">
        <v>31</v>
      </c>
      <c r="J44" s="7">
        <v>14557</v>
      </c>
      <c r="K44" s="7">
        <v>8360</v>
      </c>
      <c r="L44" s="7">
        <v>5899</v>
      </c>
      <c r="M44" s="7">
        <v>298</v>
      </c>
      <c r="N44" s="7">
        <v>0</v>
      </c>
    </row>
    <row r="45" spans="1:14" x14ac:dyDescent="0.3">
      <c r="A45" s="4">
        <v>45311</v>
      </c>
      <c r="B45" s="3" t="s">
        <v>38</v>
      </c>
      <c r="C45" s="3" t="s">
        <v>22</v>
      </c>
      <c r="D45" t="s">
        <v>35</v>
      </c>
      <c r="E45">
        <v>10000</v>
      </c>
      <c r="F45" t="s">
        <v>5</v>
      </c>
      <c r="G45" t="s">
        <v>12</v>
      </c>
      <c r="H45" t="s">
        <v>31</v>
      </c>
      <c r="I45" t="s">
        <v>31</v>
      </c>
      <c r="J45" s="7">
        <v>4557</v>
      </c>
      <c r="K45" s="7">
        <v>8360</v>
      </c>
      <c r="L45" s="7">
        <v>-4101</v>
      </c>
      <c r="M45" s="7">
        <v>298</v>
      </c>
      <c r="N45" s="7">
        <v>0</v>
      </c>
    </row>
    <row r="46" spans="1:14" x14ac:dyDescent="0.3">
      <c r="A46" s="4">
        <v>45311</v>
      </c>
      <c r="B46" s="3" t="s">
        <v>38</v>
      </c>
      <c r="C46" s="3" t="s">
        <v>22</v>
      </c>
      <c r="D46" t="s">
        <v>7</v>
      </c>
      <c r="E46">
        <v>8000</v>
      </c>
      <c r="F46" t="s">
        <v>7</v>
      </c>
      <c r="G46" t="s">
        <v>8</v>
      </c>
      <c r="H46" t="s">
        <v>12</v>
      </c>
      <c r="I46" t="s">
        <v>31</v>
      </c>
      <c r="J46" s="7">
        <v>4557</v>
      </c>
      <c r="K46" s="7">
        <v>360</v>
      </c>
      <c r="L46" s="7">
        <v>3899</v>
      </c>
      <c r="M46" s="7">
        <v>298</v>
      </c>
      <c r="N46" s="7">
        <v>0</v>
      </c>
    </row>
    <row r="47" spans="1:14" x14ac:dyDescent="0.3">
      <c r="A47" s="4">
        <v>45316</v>
      </c>
      <c r="B47" s="3" t="s">
        <v>38</v>
      </c>
      <c r="C47" s="3" t="s">
        <v>17</v>
      </c>
      <c r="D47" t="s">
        <v>13</v>
      </c>
      <c r="E47">
        <v>830</v>
      </c>
      <c r="F47" t="s">
        <v>5</v>
      </c>
      <c r="G47" t="s">
        <v>12</v>
      </c>
      <c r="H47" t="s">
        <v>31</v>
      </c>
      <c r="I47" t="s">
        <v>31</v>
      </c>
      <c r="J47" s="7">
        <v>3727</v>
      </c>
      <c r="K47" s="7">
        <v>360</v>
      </c>
      <c r="L47" s="7">
        <v>3069</v>
      </c>
      <c r="M47" s="7">
        <v>298</v>
      </c>
      <c r="N47" s="7">
        <v>0</v>
      </c>
    </row>
    <row r="48" spans="1:14" x14ac:dyDescent="0.3">
      <c r="A48" s="4">
        <v>45316</v>
      </c>
      <c r="B48" s="3" t="s">
        <v>38</v>
      </c>
      <c r="C48" s="3" t="s">
        <v>17</v>
      </c>
      <c r="D48" t="s">
        <v>30</v>
      </c>
      <c r="E48">
        <v>26384</v>
      </c>
      <c r="F48" t="s">
        <v>11</v>
      </c>
      <c r="G48" t="s">
        <v>8</v>
      </c>
      <c r="H48" t="s">
        <v>31</v>
      </c>
      <c r="I48" t="s">
        <v>31</v>
      </c>
      <c r="J48" s="7">
        <v>30111</v>
      </c>
      <c r="K48" s="7">
        <v>26744</v>
      </c>
      <c r="L48" s="7">
        <v>3069</v>
      </c>
      <c r="M48" s="7">
        <v>298</v>
      </c>
      <c r="N48" s="7">
        <v>0</v>
      </c>
    </row>
    <row r="49" spans="1:14" x14ac:dyDescent="0.3">
      <c r="A49" s="4">
        <v>45318</v>
      </c>
      <c r="B49" s="3" t="s">
        <v>38</v>
      </c>
      <c r="C49" s="3" t="s">
        <v>22</v>
      </c>
      <c r="D49" t="s">
        <v>4</v>
      </c>
      <c r="E49">
        <v>111</v>
      </c>
      <c r="F49" t="s">
        <v>5</v>
      </c>
      <c r="G49" t="s">
        <v>6</v>
      </c>
      <c r="H49" t="s">
        <v>31</v>
      </c>
      <c r="I49" t="s">
        <v>31</v>
      </c>
      <c r="J49" s="7">
        <v>30000</v>
      </c>
      <c r="K49" s="7">
        <v>26744</v>
      </c>
      <c r="L49" s="7">
        <v>3069</v>
      </c>
      <c r="M49" s="7">
        <v>187</v>
      </c>
      <c r="N49" s="7">
        <v>0</v>
      </c>
    </row>
    <row r="50" spans="1:14" x14ac:dyDescent="0.3">
      <c r="A50" s="4">
        <v>45319</v>
      </c>
      <c r="B50" s="3" t="s">
        <v>38</v>
      </c>
      <c r="C50" s="3" t="s">
        <v>21</v>
      </c>
      <c r="D50" t="s">
        <v>4</v>
      </c>
      <c r="E50">
        <v>100</v>
      </c>
      <c r="F50" t="s">
        <v>5</v>
      </c>
      <c r="G50" t="s">
        <v>6</v>
      </c>
      <c r="H50" t="s">
        <v>31</v>
      </c>
      <c r="I50" t="s">
        <v>31</v>
      </c>
      <c r="J50" s="7">
        <v>29900</v>
      </c>
      <c r="K50" s="7">
        <v>26744</v>
      </c>
      <c r="L50" s="7">
        <v>3069</v>
      </c>
      <c r="M50" s="7">
        <v>87</v>
      </c>
      <c r="N50" s="7">
        <v>0</v>
      </c>
    </row>
    <row r="51" spans="1:14" x14ac:dyDescent="0.3">
      <c r="A51" s="4">
        <v>45320</v>
      </c>
      <c r="B51" s="3" t="s">
        <v>38</v>
      </c>
      <c r="C51" s="3" t="s">
        <v>20</v>
      </c>
      <c r="D51" t="s">
        <v>4</v>
      </c>
      <c r="E51">
        <v>200</v>
      </c>
      <c r="F51" t="s">
        <v>5</v>
      </c>
      <c r="G51" t="s">
        <v>8</v>
      </c>
      <c r="H51" t="s">
        <v>31</v>
      </c>
      <c r="I51" t="s">
        <v>31</v>
      </c>
      <c r="J51" s="7">
        <v>29700</v>
      </c>
      <c r="K51" s="7">
        <v>26544</v>
      </c>
      <c r="L51" s="7">
        <v>3069</v>
      </c>
      <c r="M51" s="7">
        <v>87</v>
      </c>
      <c r="N51" s="7">
        <v>0</v>
      </c>
    </row>
    <row r="52" spans="1:14" x14ac:dyDescent="0.3">
      <c r="A52" s="4">
        <v>45320</v>
      </c>
      <c r="B52" s="3" t="s">
        <v>38</v>
      </c>
      <c r="C52" s="3" t="s">
        <v>20</v>
      </c>
      <c r="D52" t="s">
        <v>4</v>
      </c>
      <c r="E52">
        <v>60</v>
      </c>
      <c r="F52" t="s">
        <v>5</v>
      </c>
      <c r="G52" t="s">
        <v>6</v>
      </c>
      <c r="H52" t="s">
        <v>31</v>
      </c>
      <c r="I52" t="s">
        <v>31</v>
      </c>
      <c r="J52" s="7">
        <v>29640</v>
      </c>
      <c r="K52" s="7">
        <v>26544</v>
      </c>
      <c r="L52" s="7">
        <v>3069</v>
      </c>
      <c r="M52" s="7">
        <v>27</v>
      </c>
      <c r="N52" s="7">
        <v>0</v>
      </c>
    </row>
    <row r="53" spans="1:14" x14ac:dyDescent="0.3">
      <c r="A53" s="4">
        <v>45320</v>
      </c>
      <c r="B53" s="3" t="s">
        <v>38</v>
      </c>
      <c r="C53" s="3" t="s">
        <v>20</v>
      </c>
      <c r="D53" t="s">
        <v>13</v>
      </c>
      <c r="E53">
        <v>810</v>
      </c>
      <c r="F53" t="s">
        <v>5</v>
      </c>
      <c r="G53" t="s">
        <v>8</v>
      </c>
      <c r="H53" t="s">
        <v>31</v>
      </c>
      <c r="I53" t="s">
        <v>31</v>
      </c>
      <c r="J53" s="7">
        <v>28830</v>
      </c>
      <c r="K53" s="7">
        <v>25734</v>
      </c>
      <c r="L53" s="7">
        <v>3069</v>
      </c>
      <c r="M53" s="7">
        <v>27</v>
      </c>
      <c r="N53" s="7">
        <v>0</v>
      </c>
    </row>
    <row r="54" spans="1:14" x14ac:dyDescent="0.3">
      <c r="A54" s="4">
        <v>45321</v>
      </c>
      <c r="B54" s="3" t="s">
        <v>38</v>
      </c>
      <c r="C54" s="3" t="s">
        <v>19</v>
      </c>
      <c r="D54" t="s">
        <v>4</v>
      </c>
      <c r="E54">
        <v>160</v>
      </c>
      <c r="F54" t="s">
        <v>5</v>
      </c>
      <c r="G54" t="s">
        <v>8</v>
      </c>
      <c r="H54" t="s">
        <v>31</v>
      </c>
      <c r="I54" t="s">
        <v>31</v>
      </c>
      <c r="J54" s="7">
        <v>28670</v>
      </c>
      <c r="K54" s="7">
        <v>25574</v>
      </c>
      <c r="L54" s="7">
        <v>3069</v>
      </c>
      <c r="M54" s="7">
        <v>27</v>
      </c>
      <c r="N54" s="7">
        <v>0</v>
      </c>
    </row>
    <row r="55" spans="1:14" x14ac:dyDescent="0.3">
      <c r="A55" s="4">
        <v>45322</v>
      </c>
      <c r="B55" s="3" t="s">
        <v>38</v>
      </c>
      <c r="C55" s="3" t="s">
        <v>18</v>
      </c>
      <c r="D55" t="s">
        <v>4</v>
      </c>
      <c r="E55">
        <v>130</v>
      </c>
      <c r="F55" t="s">
        <v>5</v>
      </c>
      <c r="G55" t="s">
        <v>8</v>
      </c>
      <c r="H55" t="s">
        <v>31</v>
      </c>
      <c r="I55" t="s">
        <v>31</v>
      </c>
      <c r="J55" s="7">
        <v>28540</v>
      </c>
      <c r="K55" s="7">
        <v>25444</v>
      </c>
      <c r="L55" s="7">
        <v>3069</v>
      </c>
      <c r="M55" s="7">
        <v>27</v>
      </c>
      <c r="N55" s="7">
        <v>0</v>
      </c>
    </row>
    <row r="56" spans="1:14" x14ac:dyDescent="0.3">
      <c r="A56" s="4">
        <v>45322</v>
      </c>
      <c r="B56" s="3" t="s">
        <v>38</v>
      </c>
      <c r="C56" s="3" t="s">
        <v>18</v>
      </c>
      <c r="D56" t="s">
        <v>4</v>
      </c>
      <c r="E56">
        <v>10</v>
      </c>
      <c r="F56" t="s">
        <v>5</v>
      </c>
      <c r="G56" t="s">
        <v>6</v>
      </c>
      <c r="H56" t="s">
        <v>31</v>
      </c>
      <c r="I56" t="s">
        <v>31</v>
      </c>
      <c r="J56" s="7">
        <v>28530</v>
      </c>
      <c r="K56" s="7">
        <v>25444</v>
      </c>
      <c r="L56" s="7">
        <v>3069</v>
      </c>
      <c r="M56" s="7">
        <v>17</v>
      </c>
      <c r="N56" s="7">
        <v>0</v>
      </c>
    </row>
    <row r="57" spans="1:14" x14ac:dyDescent="0.3">
      <c r="A57" s="4">
        <v>45323</v>
      </c>
      <c r="B57" s="3" t="s">
        <v>39</v>
      </c>
      <c r="C57" s="3" t="s">
        <v>17</v>
      </c>
      <c r="D57" t="s">
        <v>4</v>
      </c>
      <c r="E57">
        <v>310</v>
      </c>
      <c r="F57" t="s">
        <v>5</v>
      </c>
      <c r="G57" t="s">
        <v>8</v>
      </c>
      <c r="H57" t="s">
        <v>31</v>
      </c>
      <c r="I57" t="s">
        <v>31</v>
      </c>
      <c r="J57" s="7">
        <v>28220</v>
      </c>
      <c r="K57" s="7">
        <v>25134</v>
      </c>
      <c r="L57" s="7">
        <v>3069</v>
      </c>
      <c r="M57" s="7">
        <v>17</v>
      </c>
      <c r="N57" s="7">
        <v>0</v>
      </c>
    </row>
    <row r="58" spans="1:14" x14ac:dyDescent="0.3">
      <c r="A58" s="4">
        <v>45324</v>
      </c>
      <c r="B58" s="3" t="s">
        <v>39</v>
      </c>
      <c r="C58" s="3" t="s">
        <v>23</v>
      </c>
      <c r="D58" t="s">
        <v>4</v>
      </c>
      <c r="E58">
        <v>214</v>
      </c>
      <c r="F58" t="s">
        <v>5</v>
      </c>
      <c r="G58" t="s">
        <v>8</v>
      </c>
      <c r="H58" t="s">
        <v>31</v>
      </c>
      <c r="I58" t="s">
        <v>31</v>
      </c>
      <c r="J58" s="7">
        <v>28006</v>
      </c>
      <c r="K58" s="7">
        <v>24920</v>
      </c>
      <c r="L58" s="7">
        <v>3069</v>
      </c>
      <c r="M58" s="7">
        <v>17</v>
      </c>
      <c r="N58" s="7">
        <v>0</v>
      </c>
    </row>
    <row r="59" spans="1:14" x14ac:dyDescent="0.3">
      <c r="A59" s="4">
        <v>45326</v>
      </c>
      <c r="B59" s="3" t="s">
        <v>39</v>
      </c>
      <c r="C59" s="3" t="s">
        <v>21</v>
      </c>
      <c r="D59" t="s">
        <v>4</v>
      </c>
      <c r="E59">
        <v>50</v>
      </c>
      <c r="F59" t="s">
        <v>5</v>
      </c>
      <c r="G59" t="s">
        <v>8</v>
      </c>
      <c r="H59" t="s">
        <v>31</v>
      </c>
      <c r="I59" t="s">
        <v>31</v>
      </c>
      <c r="J59" s="7">
        <v>27956</v>
      </c>
      <c r="K59" s="7">
        <v>24870</v>
      </c>
      <c r="L59" s="7">
        <v>3069</v>
      </c>
      <c r="M59" s="7">
        <v>17</v>
      </c>
      <c r="N59" s="7">
        <v>0</v>
      </c>
    </row>
    <row r="60" spans="1:14" x14ac:dyDescent="0.3">
      <c r="A60" s="4">
        <v>45327</v>
      </c>
      <c r="B60" s="3" t="s">
        <v>39</v>
      </c>
      <c r="C60" s="3" t="s">
        <v>20</v>
      </c>
      <c r="D60" t="s">
        <v>4</v>
      </c>
      <c r="E60">
        <v>95</v>
      </c>
      <c r="F60" t="s">
        <v>5</v>
      </c>
      <c r="G60" t="s">
        <v>8</v>
      </c>
      <c r="H60" t="s">
        <v>31</v>
      </c>
      <c r="I60" t="s">
        <v>31</v>
      </c>
      <c r="J60" s="7">
        <v>27861</v>
      </c>
      <c r="K60" s="7">
        <v>24775</v>
      </c>
      <c r="L60" s="7">
        <v>3069</v>
      </c>
      <c r="M60" s="7">
        <v>17</v>
      </c>
      <c r="N60" s="7">
        <v>0</v>
      </c>
    </row>
    <row r="61" spans="1:14" x14ac:dyDescent="0.3">
      <c r="A61" s="4">
        <v>45327</v>
      </c>
      <c r="B61" s="3" t="s">
        <v>39</v>
      </c>
      <c r="C61" s="3" t="s">
        <v>20</v>
      </c>
      <c r="D61" t="s">
        <v>13</v>
      </c>
      <c r="E61">
        <v>500</v>
      </c>
      <c r="F61" t="s">
        <v>5</v>
      </c>
      <c r="G61" t="s">
        <v>8</v>
      </c>
      <c r="H61" t="s">
        <v>31</v>
      </c>
      <c r="I61" t="s">
        <v>31</v>
      </c>
      <c r="J61" s="7">
        <v>27361</v>
      </c>
      <c r="K61" s="7">
        <v>24275</v>
      </c>
      <c r="L61" s="7">
        <v>3069</v>
      </c>
      <c r="M61" s="7">
        <v>17</v>
      </c>
      <c r="N61" s="7">
        <v>0</v>
      </c>
    </row>
    <row r="62" spans="1:14" x14ac:dyDescent="0.3">
      <c r="A62" s="4">
        <v>45328</v>
      </c>
      <c r="B62" s="3" t="s">
        <v>39</v>
      </c>
      <c r="C62" s="3" t="s">
        <v>19</v>
      </c>
      <c r="D62" t="s">
        <v>33</v>
      </c>
      <c r="E62">
        <v>20</v>
      </c>
      <c r="F62" t="s">
        <v>5</v>
      </c>
      <c r="G62" t="s">
        <v>8</v>
      </c>
      <c r="H62" t="s">
        <v>31</v>
      </c>
      <c r="I62" t="s">
        <v>31</v>
      </c>
      <c r="J62" s="7">
        <v>27341</v>
      </c>
      <c r="K62" s="7">
        <v>24255</v>
      </c>
      <c r="L62" s="7">
        <v>3069</v>
      </c>
      <c r="M62" s="7">
        <v>17</v>
      </c>
      <c r="N62" s="7">
        <v>0</v>
      </c>
    </row>
    <row r="63" spans="1:14" x14ac:dyDescent="0.3">
      <c r="A63" s="4">
        <v>45328</v>
      </c>
      <c r="B63" s="3" t="s">
        <v>39</v>
      </c>
      <c r="C63" s="3" t="s">
        <v>19</v>
      </c>
      <c r="D63" t="s">
        <v>4</v>
      </c>
      <c r="E63">
        <v>220</v>
      </c>
      <c r="F63" t="s">
        <v>5</v>
      </c>
      <c r="G63" t="s">
        <v>8</v>
      </c>
      <c r="H63" t="s">
        <v>31</v>
      </c>
      <c r="I63" t="s">
        <v>31</v>
      </c>
      <c r="J63" s="7">
        <v>27121</v>
      </c>
      <c r="K63" s="7">
        <v>24035</v>
      </c>
      <c r="L63" s="7">
        <v>3069</v>
      </c>
      <c r="M63" s="7">
        <v>17</v>
      </c>
      <c r="N63" s="7">
        <v>0</v>
      </c>
    </row>
    <row r="64" spans="1:14" x14ac:dyDescent="0.3">
      <c r="A64" s="4">
        <v>45329</v>
      </c>
      <c r="B64" s="3" t="s">
        <v>39</v>
      </c>
      <c r="C64" s="3" t="s">
        <v>18</v>
      </c>
      <c r="D64" t="s">
        <v>4</v>
      </c>
      <c r="E64">
        <v>130</v>
      </c>
      <c r="F64" t="s">
        <v>5</v>
      </c>
      <c r="G64" t="s">
        <v>6</v>
      </c>
      <c r="H64" t="s">
        <v>31</v>
      </c>
      <c r="I64" t="s">
        <v>31</v>
      </c>
      <c r="J64" s="7">
        <v>26991</v>
      </c>
      <c r="K64" s="7">
        <v>24035</v>
      </c>
      <c r="L64" s="7">
        <v>3069</v>
      </c>
      <c r="M64" s="7">
        <v>-113</v>
      </c>
      <c r="N64" s="7">
        <v>0</v>
      </c>
    </row>
    <row r="65" spans="1:14" x14ac:dyDescent="0.3">
      <c r="A65" s="4">
        <v>45329</v>
      </c>
      <c r="B65" s="3" t="s">
        <v>39</v>
      </c>
      <c r="C65" s="3" t="s">
        <v>18</v>
      </c>
      <c r="D65" t="s">
        <v>7</v>
      </c>
      <c r="E65">
        <v>1992</v>
      </c>
      <c r="F65" t="s">
        <v>7</v>
      </c>
      <c r="G65" t="s">
        <v>8</v>
      </c>
      <c r="H65" t="s">
        <v>6</v>
      </c>
      <c r="I65" t="s">
        <v>31</v>
      </c>
      <c r="J65" s="7">
        <v>26991</v>
      </c>
      <c r="K65" s="7">
        <v>22043</v>
      </c>
      <c r="L65" s="7">
        <v>3069</v>
      </c>
      <c r="M65" s="7">
        <v>1879</v>
      </c>
      <c r="N65" s="7">
        <v>0</v>
      </c>
    </row>
    <row r="66" spans="1:14" x14ac:dyDescent="0.3">
      <c r="A66" s="4">
        <v>45330</v>
      </c>
      <c r="B66" s="3" t="s">
        <v>39</v>
      </c>
      <c r="C66" s="3" t="s">
        <v>17</v>
      </c>
      <c r="D66" t="s">
        <v>4</v>
      </c>
      <c r="E66">
        <v>270</v>
      </c>
      <c r="F66" t="s">
        <v>5</v>
      </c>
      <c r="G66" t="s">
        <v>6</v>
      </c>
      <c r="H66" t="s">
        <v>31</v>
      </c>
      <c r="I66" t="s">
        <v>31</v>
      </c>
      <c r="J66" s="7">
        <v>26721</v>
      </c>
      <c r="K66" s="7">
        <v>22043</v>
      </c>
      <c r="L66" s="7">
        <v>3069</v>
      </c>
      <c r="M66" s="7">
        <v>1609</v>
      </c>
      <c r="N66" s="7">
        <v>0</v>
      </c>
    </row>
    <row r="67" spans="1:14" x14ac:dyDescent="0.3">
      <c r="A67" s="4">
        <v>45330</v>
      </c>
      <c r="B67" s="3" t="s">
        <v>39</v>
      </c>
      <c r="C67" s="3" t="s">
        <v>17</v>
      </c>
      <c r="D67" t="s">
        <v>33</v>
      </c>
      <c r="E67">
        <v>200</v>
      </c>
      <c r="F67" t="s">
        <v>5</v>
      </c>
      <c r="G67" t="s">
        <v>6</v>
      </c>
      <c r="H67" t="s">
        <v>31</v>
      </c>
      <c r="I67" t="s">
        <v>31</v>
      </c>
      <c r="J67" s="7">
        <v>26521</v>
      </c>
      <c r="K67" s="7">
        <v>22043</v>
      </c>
      <c r="L67" s="7">
        <v>3069</v>
      </c>
      <c r="M67" s="7">
        <v>1409</v>
      </c>
      <c r="N67" s="7">
        <v>0</v>
      </c>
    </row>
    <row r="68" spans="1:14" x14ac:dyDescent="0.3">
      <c r="A68" s="4">
        <v>45331</v>
      </c>
      <c r="B68" s="3" t="s">
        <v>39</v>
      </c>
      <c r="C68" s="3" t="s">
        <v>23</v>
      </c>
      <c r="D68" t="s">
        <v>4</v>
      </c>
      <c r="E68">
        <v>50</v>
      </c>
      <c r="F68" t="s">
        <v>5</v>
      </c>
      <c r="G68" t="s">
        <v>12</v>
      </c>
      <c r="H68" t="s">
        <v>31</v>
      </c>
      <c r="I68" t="s">
        <v>31</v>
      </c>
      <c r="J68" s="7">
        <v>26471</v>
      </c>
      <c r="K68" s="7">
        <v>22043</v>
      </c>
      <c r="L68" s="7">
        <v>3019</v>
      </c>
      <c r="M68" s="7">
        <v>1409</v>
      </c>
      <c r="N68" s="7">
        <v>0</v>
      </c>
    </row>
    <row r="69" spans="1:14" x14ac:dyDescent="0.3">
      <c r="A69" s="4">
        <v>45331</v>
      </c>
      <c r="B69" s="3" t="s">
        <v>39</v>
      </c>
      <c r="C69" s="3" t="s">
        <v>23</v>
      </c>
      <c r="D69" t="s">
        <v>14</v>
      </c>
      <c r="E69">
        <v>3500</v>
      </c>
      <c r="F69" t="s">
        <v>5</v>
      </c>
      <c r="G69" t="s">
        <v>8</v>
      </c>
      <c r="H69" t="s">
        <v>31</v>
      </c>
      <c r="I69" t="s">
        <v>31</v>
      </c>
      <c r="J69" s="7">
        <v>22971</v>
      </c>
      <c r="K69" s="7">
        <v>18543</v>
      </c>
      <c r="L69" s="7">
        <v>3019</v>
      </c>
      <c r="M69" s="7">
        <v>1409</v>
      </c>
      <c r="N69" s="7">
        <v>0</v>
      </c>
    </row>
    <row r="70" spans="1:14" x14ac:dyDescent="0.3">
      <c r="A70" s="4">
        <v>45331</v>
      </c>
      <c r="B70" s="3" t="s">
        <v>39</v>
      </c>
      <c r="C70" s="3" t="s">
        <v>23</v>
      </c>
      <c r="D70" t="s">
        <v>4</v>
      </c>
      <c r="E70">
        <v>110</v>
      </c>
      <c r="F70" t="s">
        <v>5</v>
      </c>
      <c r="G70" t="s">
        <v>6</v>
      </c>
      <c r="H70" t="s">
        <v>31</v>
      </c>
      <c r="I70" t="s">
        <v>31</v>
      </c>
      <c r="J70" s="7">
        <v>22861</v>
      </c>
      <c r="K70" s="7">
        <v>18543</v>
      </c>
      <c r="L70" s="7">
        <v>3019</v>
      </c>
      <c r="M70" s="7">
        <v>1299</v>
      </c>
      <c r="N70" s="7">
        <v>0</v>
      </c>
    </row>
    <row r="71" spans="1:14" x14ac:dyDescent="0.3">
      <c r="A71" s="4">
        <v>45332</v>
      </c>
      <c r="B71" s="3" t="s">
        <v>39</v>
      </c>
      <c r="C71" s="3" t="s">
        <v>22</v>
      </c>
      <c r="D71" t="s">
        <v>13</v>
      </c>
      <c r="E71">
        <v>500</v>
      </c>
      <c r="F71" t="s">
        <v>5</v>
      </c>
      <c r="G71" t="s">
        <v>6</v>
      </c>
      <c r="H71" t="s">
        <v>31</v>
      </c>
      <c r="I71" t="s">
        <v>31</v>
      </c>
      <c r="J71" s="7">
        <v>22361</v>
      </c>
      <c r="K71" s="7">
        <v>18543</v>
      </c>
      <c r="L71" s="7">
        <v>3019</v>
      </c>
      <c r="M71" s="7">
        <v>799</v>
      </c>
      <c r="N71" s="7">
        <v>0</v>
      </c>
    </row>
    <row r="72" spans="1:14" x14ac:dyDescent="0.3">
      <c r="A72" s="4">
        <v>45333</v>
      </c>
      <c r="B72" s="3" t="s">
        <v>39</v>
      </c>
      <c r="C72" s="3" t="s">
        <v>21</v>
      </c>
      <c r="D72" t="s">
        <v>34</v>
      </c>
      <c r="E72">
        <v>700</v>
      </c>
      <c r="F72" t="s">
        <v>5</v>
      </c>
      <c r="G72" t="s">
        <v>8</v>
      </c>
      <c r="H72" t="s">
        <v>31</v>
      </c>
      <c r="I72" t="s">
        <v>31</v>
      </c>
      <c r="J72" s="7">
        <v>21661</v>
      </c>
      <c r="K72" s="7">
        <v>17843</v>
      </c>
      <c r="L72" s="7">
        <v>3019</v>
      </c>
      <c r="M72" s="7">
        <v>799</v>
      </c>
      <c r="N72" s="7">
        <v>0</v>
      </c>
    </row>
    <row r="73" spans="1:14" x14ac:dyDescent="0.3">
      <c r="A73" s="4">
        <v>45335</v>
      </c>
      <c r="B73" s="3" t="s">
        <v>39</v>
      </c>
      <c r="C73" s="3" t="s">
        <v>19</v>
      </c>
      <c r="D73" t="s">
        <v>13</v>
      </c>
      <c r="E73">
        <v>287</v>
      </c>
      <c r="F73" t="s">
        <v>5</v>
      </c>
      <c r="G73" t="s">
        <v>6</v>
      </c>
      <c r="H73" t="s">
        <v>31</v>
      </c>
      <c r="I73" t="s">
        <v>31</v>
      </c>
      <c r="J73" s="7">
        <v>21374</v>
      </c>
      <c r="K73" s="7">
        <v>17843</v>
      </c>
      <c r="L73" s="7">
        <v>3019</v>
      </c>
      <c r="M73" s="7">
        <v>512</v>
      </c>
      <c r="N73" s="7">
        <v>0</v>
      </c>
    </row>
    <row r="74" spans="1:14" x14ac:dyDescent="0.3">
      <c r="A74" s="4">
        <v>45336</v>
      </c>
      <c r="B74" s="3" t="s">
        <v>39</v>
      </c>
      <c r="C74" s="3" t="s">
        <v>18</v>
      </c>
      <c r="D74" t="s">
        <v>7</v>
      </c>
      <c r="E74">
        <v>1897</v>
      </c>
      <c r="F74" t="s">
        <v>7</v>
      </c>
      <c r="G74" t="s">
        <v>8</v>
      </c>
      <c r="H74" t="s">
        <v>6</v>
      </c>
      <c r="I74" t="s">
        <v>31</v>
      </c>
      <c r="J74" s="7">
        <v>21374</v>
      </c>
      <c r="K74" s="7">
        <v>15946</v>
      </c>
      <c r="L74" s="7">
        <v>3019</v>
      </c>
      <c r="M74" s="7">
        <v>2409</v>
      </c>
      <c r="N74" s="7">
        <v>0</v>
      </c>
    </row>
    <row r="75" spans="1:14" x14ac:dyDescent="0.3">
      <c r="A75" s="4">
        <v>45336</v>
      </c>
      <c r="B75" s="3" t="s">
        <v>39</v>
      </c>
      <c r="C75" s="3" t="s">
        <v>18</v>
      </c>
      <c r="D75" t="s">
        <v>4</v>
      </c>
      <c r="E75">
        <v>330</v>
      </c>
      <c r="F75" t="s">
        <v>5</v>
      </c>
      <c r="G75" t="s">
        <v>6</v>
      </c>
      <c r="H75" t="s">
        <v>31</v>
      </c>
      <c r="I75" t="s">
        <v>31</v>
      </c>
      <c r="J75" s="7">
        <v>21044</v>
      </c>
      <c r="K75" s="7">
        <v>15946</v>
      </c>
      <c r="L75" s="7">
        <v>3019</v>
      </c>
      <c r="M75" s="7">
        <v>2079</v>
      </c>
      <c r="N75" s="7">
        <v>0</v>
      </c>
    </row>
    <row r="76" spans="1:14" x14ac:dyDescent="0.3">
      <c r="A76" s="4">
        <v>45336</v>
      </c>
      <c r="B76" s="3" t="s">
        <v>39</v>
      </c>
      <c r="C76" s="3" t="s">
        <v>18</v>
      </c>
      <c r="D76" t="s">
        <v>16</v>
      </c>
      <c r="E76">
        <v>199</v>
      </c>
      <c r="F76" t="s">
        <v>5</v>
      </c>
      <c r="G76" t="s">
        <v>12</v>
      </c>
      <c r="H76" t="s">
        <v>31</v>
      </c>
      <c r="I76" t="s">
        <v>31</v>
      </c>
      <c r="J76" s="7">
        <v>20845</v>
      </c>
      <c r="K76" s="7">
        <v>15946</v>
      </c>
      <c r="L76" s="7">
        <v>2820</v>
      </c>
      <c r="M76" s="7">
        <v>2079</v>
      </c>
      <c r="N76" s="7">
        <v>0</v>
      </c>
    </row>
    <row r="77" spans="1:14" x14ac:dyDescent="0.3">
      <c r="A77" s="4">
        <v>45336</v>
      </c>
      <c r="B77" s="3" t="s">
        <v>39</v>
      </c>
      <c r="C77" s="3" t="s">
        <v>18</v>
      </c>
      <c r="D77" t="s">
        <v>13</v>
      </c>
      <c r="E77">
        <v>100</v>
      </c>
      <c r="F77" t="s">
        <v>5</v>
      </c>
      <c r="G77" t="s">
        <v>6</v>
      </c>
      <c r="H77" t="s">
        <v>31</v>
      </c>
      <c r="I77" t="s">
        <v>31</v>
      </c>
      <c r="J77" s="7">
        <v>20745</v>
      </c>
      <c r="K77" s="7">
        <v>15946</v>
      </c>
      <c r="L77" s="7">
        <v>2820</v>
      </c>
      <c r="M77" s="7">
        <v>1979</v>
      </c>
      <c r="N77" s="7">
        <v>0</v>
      </c>
    </row>
    <row r="78" spans="1:14" x14ac:dyDescent="0.3">
      <c r="A78" s="4">
        <v>45337</v>
      </c>
      <c r="B78" s="3" t="s">
        <v>39</v>
      </c>
      <c r="C78" s="3" t="s">
        <v>17</v>
      </c>
      <c r="D78" t="s">
        <v>4</v>
      </c>
      <c r="E78">
        <v>239</v>
      </c>
      <c r="F78" t="s">
        <v>5</v>
      </c>
      <c r="G78" t="s">
        <v>6</v>
      </c>
      <c r="H78" t="s">
        <v>31</v>
      </c>
      <c r="I78" t="s">
        <v>31</v>
      </c>
      <c r="J78" s="7">
        <v>20506</v>
      </c>
      <c r="K78" s="7">
        <v>15946</v>
      </c>
      <c r="L78" s="7">
        <v>2820</v>
      </c>
      <c r="M78" s="7">
        <v>1740</v>
      </c>
      <c r="N78" s="7">
        <v>0</v>
      </c>
    </row>
    <row r="79" spans="1:14" x14ac:dyDescent="0.3">
      <c r="A79" s="4">
        <v>45338</v>
      </c>
      <c r="B79" s="3" t="s">
        <v>39</v>
      </c>
      <c r="C79" s="3" t="s">
        <v>23</v>
      </c>
      <c r="D79" t="s">
        <v>4</v>
      </c>
      <c r="E79">
        <v>350</v>
      </c>
      <c r="F79" t="s">
        <v>5</v>
      </c>
      <c r="G79" t="s">
        <v>6</v>
      </c>
      <c r="H79" t="s">
        <v>31</v>
      </c>
      <c r="I79" t="s">
        <v>31</v>
      </c>
      <c r="J79" s="7">
        <v>20156</v>
      </c>
      <c r="K79" s="7">
        <v>15946</v>
      </c>
      <c r="L79" s="7">
        <v>2820</v>
      </c>
      <c r="M79" s="7">
        <v>1390</v>
      </c>
      <c r="N79" s="7">
        <v>0</v>
      </c>
    </row>
    <row r="80" spans="1:14" x14ac:dyDescent="0.3">
      <c r="A80" s="4">
        <v>45339</v>
      </c>
      <c r="B80" s="3" t="s">
        <v>39</v>
      </c>
      <c r="C80" s="3" t="s">
        <v>22</v>
      </c>
      <c r="D80" t="s">
        <v>4</v>
      </c>
      <c r="E80">
        <v>190</v>
      </c>
      <c r="F80" t="s">
        <v>5</v>
      </c>
      <c r="G80" t="s">
        <v>6</v>
      </c>
      <c r="H80" t="s">
        <v>31</v>
      </c>
      <c r="I80" t="s">
        <v>31</v>
      </c>
      <c r="J80" s="7">
        <v>19966</v>
      </c>
      <c r="K80" s="7">
        <v>15946</v>
      </c>
      <c r="L80" s="7">
        <v>2820</v>
      </c>
      <c r="M80" s="7">
        <v>1200</v>
      </c>
      <c r="N80" s="7">
        <v>0</v>
      </c>
    </row>
    <row r="81" spans="1:14" x14ac:dyDescent="0.3">
      <c r="A81" s="4">
        <v>45340</v>
      </c>
      <c r="B81" s="3" t="s">
        <v>39</v>
      </c>
      <c r="C81" s="3" t="s">
        <v>21</v>
      </c>
      <c r="D81" t="s">
        <v>4</v>
      </c>
      <c r="E81">
        <v>185</v>
      </c>
      <c r="F81" t="s">
        <v>5</v>
      </c>
      <c r="G81" t="s">
        <v>6</v>
      </c>
      <c r="H81" t="s">
        <v>31</v>
      </c>
      <c r="I81" t="s">
        <v>31</v>
      </c>
      <c r="J81" s="7">
        <v>19781</v>
      </c>
      <c r="K81" s="7">
        <v>15946</v>
      </c>
      <c r="L81" s="7">
        <v>2820</v>
      </c>
      <c r="M81" s="7">
        <v>1015</v>
      </c>
      <c r="N81" s="7">
        <v>0</v>
      </c>
    </row>
    <row r="82" spans="1:14" x14ac:dyDescent="0.3">
      <c r="A82" s="4">
        <v>45341</v>
      </c>
      <c r="B82" s="3" t="s">
        <v>39</v>
      </c>
      <c r="C82" s="3" t="s">
        <v>20</v>
      </c>
      <c r="D82" t="s">
        <v>4</v>
      </c>
      <c r="E82">
        <v>290</v>
      </c>
      <c r="F82" t="s">
        <v>5</v>
      </c>
      <c r="G82" t="s">
        <v>6</v>
      </c>
      <c r="H82" t="s">
        <v>31</v>
      </c>
      <c r="I82" t="s">
        <v>31</v>
      </c>
      <c r="J82" s="7">
        <v>19491</v>
      </c>
      <c r="K82" s="7">
        <v>15946</v>
      </c>
      <c r="L82" s="7">
        <v>2820</v>
      </c>
      <c r="M82" s="7">
        <v>725</v>
      </c>
      <c r="N82" s="7">
        <v>0</v>
      </c>
    </row>
    <row r="83" spans="1:14" x14ac:dyDescent="0.3">
      <c r="A83" s="4">
        <v>45341</v>
      </c>
      <c r="B83" s="3" t="s">
        <v>39</v>
      </c>
      <c r="C83" s="3" t="s">
        <v>20</v>
      </c>
      <c r="D83" t="s">
        <v>13</v>
      </c>
      <c r="E83">
        <v>947</v>
      </c>
      <c r="F83" t="s">
        <v>5</v>
      </c>
      <c r="G83" t="s">
        <v>8</v>
      </c>
      <c r="H83" t="s">
        <v>31</v>
      </c>
      <c r="I83" t="s">
        <v>31</v>
      </c>
      <c r="J83" s="7">
        <v>18544</v>
      </c>
      <c r="K83" s="7">
        <v>14999</v>
      </c>
      <c r="L83" s="7">
        <v>2820</v>
      </c>
      <c r="M83" s="7">
        <v>725</v>
      </c>
      <c r="N83" s="7">
        <v>0</v>
      </c>
    </row>
    <row r="84" spans="1:14" x14ac:dyDescent="0.3">
      <c r="A84" s="4">
        <v>45342</v>
      </c>
      <c r="B84" s="3" t="s">
        <v>39</v>
      </c>
      <c r="C84" s="3" t="s">
        <v>19</v>
      </c>
      <c r="D84" t="s">
        <v>4</v>
      </c>
      <c r="E84">
        <v>140</v>
      </c>
      <c r="F84" t="s">
        <v>5</v>
      </c>
      <c r="G84" t="s">
        <v>6</v>
      </c>
      <c r="H84" t="s">
        <v>31</v>
      </c>
      <c r="I84" t="s">
        <v>31</v>
      </c>
      <c r="J84" s="7">
        <v>18404</v>
      </c>
      <c r="K84" s="7">
        <v>14999</v>
      </c>
      <c r="L84" s="7">
        <v>2820</v>
      </c>
      <c r="M84" s="7">
        <v>585</v>
      </c>
      <c r="N84" s="7">
        <v>0</v>
      </c>
    </row>
    <row r="85" spans="1:14" x14ac:dyDescent="0.3">
      <c r="A85" s="4">
        <v>45343</v>
      </c>
      <c r="B85" s="3" t="s">
        <v>39</v>
      </c>
      <c r="C85" s="3" t="s">
        <v>18</v>
      </c>
      <c r="D85" t="s">
        <v>4</v>
      </c>
      <c r="E85">
        <v>190</v>
      </c>
      <c r="F85" t="s">
        <v>5</v>
      </c>
      <c r="G85" t="s">
        <v>6</v>
      </c>
      <c r="H85" t="s">
        <v>31</v>
      </c>
      <c r="I85" t="s">
        <v>31</v>
      </c>
      <c r="J85" s="7">
        <v>18214</v>
      </c>
      <c r="K85" s="7">
        <v>14999</v>
      </c>
      <c r="L85" s="7">
        <v>2820</v>
      </c>
      <c r="M85" s="7">
        <v>395</v>
      </c>
      <c r="N85" s="7">
        <v>0</v>
      </c>
    </row>
    <row r="86" spans="1:14" x14ac:dyDescent="0.3">
      <c r="A86" s="4">
        <v>45344</v>
      </c>
      <c r="B86" s="3" t="s">
        <v>39</v>
      </c>
      <c r="C86" s="3" t="s">
        <v>17</v>
      </c>
      <c r="D86" t="s">
        <v>4</v>
      </c>
      <c r="E86">
        <v>170</v>
      </c>
      <c r="F86" t="s">
        <v>5</v>
      </c>
      <c r="G86" t="s">
        <v>6</v>
      </c>
      <c r="H86" t="s">
        <v>31</v>
      </c>
      <c r="I86" t="s">
        <v>31</v>
      </c>
      <c r="J86" s="7">
        <v>18044</v>
      </c>
      <c r="K86" s="7">
        <v>14999</v>
      </c>
      <c r="L86" s="7">
        <v>2820</v>
      </c>
      <c r="M86" s="7">
        <v>225</v>
      </c>
      <c r="N86" s="7">
        <v>0</v>
      </c>
    </row>
    <row r="87" spans="1:14" x14ac:dyDescent="0.3">
      <c r="A87" s="4">
        <v>45345</v>
      </c>
      <c r="B87" s="3" t="s">
        <v>39</v>
      </c>
      <c r="C87" s="3" t="s">
        <v>23</v>
      </c>
      <c r="D87" t="s">
        <v>4</v>
      </c>
      <c r="E87">
        <v>40</v>
      </c>
      <c r="F87" t="s">
        <v>5</v>
      </c>
      <c r="G87" t="s">
        <v>12</v>
      </c>
      <c r="H87" t="s">
        <v>31</v>
      </c>
      <c r="I87" t="s">
        <v>31</v>
      </c>
      <c r="J87" s="7">
        <v>18004</v>
      </c>
      <c r="K87" s="7">
        <v>14999</v>
      </c>
      <c r="L87" s="7">
        <v>2780</v>
      </c>
      <c r="M87" s="7">
        <v>225</v>
      </c>
      <c r="N87" s="7">
        <v>0</v>
      </c>
    </row>
    <row r="88" spans="1:14" x14ac:dyDescent="0.3">
      <c r="A88" s="4">
        <v>45345</v>
      </c>
      <c r="B88" s="3" t="s">
        <v>39</v>
      </c>
      <c r="C88" s="3" t="s">
        <v>23</v>
      </c>
      <c r="D88" t="s">
        <v>4</v>
      </c>
      <c r="E88">
        <v>90</v>
      </c>
      <c r="F88" t="s">
        <v>5</v>
      </c>
      <c r="G88" t="s">
        <v>6</v>
      </c>
      <c r="H88" t="s">
        <v>31</v>
      </c>
      <c r="I88" t="s">
        <v>31</v>
      </c>
      <c r="J88" s="7">
        <v>17914</v>
      </c>
      <c r="K88" s="7">
        <v>14999</v>
      </c>
      <c r="L88" s="7">
        <v>2780</v>
      </c>
      <c r="M88" s="7">
        <v>135</v>
      </c>
      <c r="N88" s="7">
        <v>0</v>
      </c>
    </row>
    <row r="89" spans="1:14" x14ac:dyDescent="0.3">
      <c r="A89" s="4">
        <v>45345</v>
      </c>
      <c r="B89" s="3" t="s">
        <v>39</v>
      </c>
      <c r="C89" s="3" t="s">
        <v>23</v>
      </c>
      <c r="D89" t="s">
        <v>7</v>
      </c>
      <c r="E89">
        <v>1935</v>
      </c>
      <c r="F89" t="s">
        <v>7</v>
      </c>
      <c r="G89" t="s">
        <v>8</v>
      </c>
      <c r="H89" t="s">
        <v>6</v>
      </c>
      <c r="I89" t="s">
        <v>31</v>
      </c>
      <c r="J89" s="7">
        <v>17914</v>
      </c>
      <c r="K89" s="7">
        <v>13064</v>
      </c>
      <c r="L89" s="7">
        <v>2780</v>
      </c>
      <c r="M89" s="7">
        <v>2070</v>
      </c>
      <c r="N89" s="7">
        <v>0</v>
      </c>
    </row>
    <row r="90" spans="1:14" x14ac:dyDescent="0.3">
      <c r="A90" s="4">
        <v>45346</v>
      </c>
      <c r="B90" s="3" t="s">
        <v>39</v>
      </c>
      <c r="C90" s="3" t="s">
        <v>22</v>
      </c>
      <c r="D90" t="s">
        <v>4</v>
      </c>
      <c r="E90">
        <v>240</v>
      </c>
      <c r="F90" t="s">
        <v>5</v>
      </c>
      <c r="G90" t="s">
        <v>6</v>
      </c>
      <c r="H90" t="s">
        <v>31</v>
      </c>
      <c r="I90" t="s">
        <v>31</v>
      </c>
      <c r="J90" s="7">
        <v>17674</v>
      </c>
      <c r="K90" s="7">
        <v>13064</v>
      </c>
      <c r="L90" s="7">
        <v>2780</v>
      </c>
      <c r="M90" s="7">
        <v>1830</v>
      </c>
      <c r="N90" s="7">
        <v>0</v>
      </c>
    </row>
    <row r="91" spans="1:14" x14ac:dyDescent="0.3">
      <c r="A91" s="4">
        <v>45346</v>
      </c>
      <c r="B91" s="3" t="s">
        <v>39</v>
      </c>
      <c r="C91" s="3" t="s">
        <v>22</v>
      </c>
      <c r="D91" t="s">
        <v>30</v>
      </c>
      <c r="E91">
        <v>250</v>
      </c>
      <c r="F91" t="s">
        <v>11</v>
      </c>
      <c r="G91" t="s">
        <v>12</v>
      </c>
      <c r="H91" t="s">
        <v>31</v>
      </c>
      <c r="I91" t="s">
        <v>31</v>
      </c>
      <c r="J91" s="7">
        <v>17924</v>
      </c>
      <c r="K91" s="7">
        <v>13064</v>
      </c>
      <c r="L91" s="7">
        <v>3030</v>
      </c>
      <c r="M91" s="7">
        <v>1830</v>
      </c>
      <c r="N91" s="7">
        <v>0</v>
      </c>
    </row>
    <row r="92" spans="1:14" x14ac:dyDescent="0.3">
      <c r="A92" s="4">
        <v>45347</v>
      </c>
      <c r="B92" s="3" t="s">
        <v>39</v>
      </c>
      <c r="C92" s="3" t="s">
        <v>21</v>
      </c>
      <c r="D92" t="s">
        <v>4</v>
      </c>
      <c r="E92">
        <v>220</v>
      </c>
      <c r="F92" t="s">
        <v>5</v>
      </c>
      <c r="G92" t="s">
        <v>6</v>
      </c>
      <c r="H92" t="s">
        <v>31</v>
      </c>
      <c r="I92" t="s">
        <v>31</v>
      </c>
      <c r="J92" s="7">
        <v>17704</v>
      </c>
      <c r="K92" s="7">
        <v>13064</v>
      </c>
      <c r="L92" s="7">
        <v>3030</v>
      </c>
      <c r="M92" s="7">
        <v>1610</v>
      </c>
      <c r="N92" s="7">
        <v>0</v>
      </c>
    </row>
    <row r="93" spans="1:14" x14ac:dyDescent="0.3">
      <c r="A93" s="4">
        <v>45347</v>
      </c>
      <c r="B93" s="3" t="s">
        <v>39</v>
      </c>
      <c r="C93" s="3" t="s">
        <v>21</v>
      </c>
      <c r="D93" t="s">
        <v>30</v>
      </c>
      <c r="E93">
        <v>24777</v>
      </c>
      <c r="F93" t="s">
        <v>11</v>
      </c>
      <c r="G93" t="s">
        <v>8</v>
      </c>
      <c r="H93" t="s">
        <v>31</v>
      </c>
      <c r="I93" t="s">
        <v>31</v>
      </c>
      <c r="J93" s="7">
        <v>42481</v>
      </c>
      <c r="K93" s="7">
        <v>37841</v>
      </c>
      <c r="L93" s="7">
        <v>3030</v>
      </c>
      <c r="M93" s="7">
        <v>1610</v>
      </c>
      <c r="N93" s="7">
        <v>0</v>
      </c>
    </row>
    <row r="94" spans="1:14" x14ac:dyDescent="0.3">
      <c r="A94" s="4">
        <v>45348</v>
      </c>
      <c r="B94" s="3" t="s">
        <v>39</v>
      </c>
      <c r="C94" s="3" t="s">
        <v>20</v>
      </c>
      <c r="D94" t="s">
        <v>4</v>
      </c>
      <c r="E94">
        <v>230</v>
      </c>
      <c r="F94" t="s">
        <v>5</v>
      </c>
      <c r="G94" t="s">
        <v>6</v>
      </c>
      <c r="H94" t="s">
        <v>31</v>
      </c>
      <c r="I94" t="s">
        <v>31</v>
      </c>
      <c r="J94" s="7">
        <v>42251</v>
      </c>
      <c r="K94" s="7">
        <v>37841</v>
      </c>
      <c r="L94" s="7">
        <v>3030</v>
      </c>
      <c r="M94" s="7">
        <v>1380</v>
      </c>
      <c r="N94" s="7">
        <v>0</v>
      </c>
    </row>
    <row r="95" spans="1:14" x14ac:dyDescent="0.3">
      <c r="A95" s="4">
        <v>45349</v>
      </c>
      <c r="B95" s="3" t="s">
        <v>39</v>
      </c>
      <c r="C95" s="3" t="s">
        <v>19</v>
      </c>
      <c r="D95" t="s">
        <v>7</v>
      </c>
      <c r="E95">
        <v>80</v>
      </c>
      <c r="F95" t="s">
        <v>7</v>
      </c>
      <c r="G95" t="s">
        <v>6</v>
      </c>
      <c r="H95" t="s">
        <v>12</v>
      </c>
      <c r="I95" t="s">
        <v>31</v>
      </c>
      <c r="J95" s="7">
        <v>42251</v>
      </c>
      <c r="K95" s="7">
        <v>37841</v>
      </c>
      <c r="L95" s="7">
        <v>3110</v>
      </c>
      <c r="M95" s="7">
        <v>1300</v>
      </c>
      <c r="N95" s="7">
        <v>0</v>
      </c>
    </row>
    <row r="96" spans="1:14" x14ac:dyDescent="0.3">
      <c r="A96" s="4">
        <v>45349</v>
      </c>
      <c r="B96" s="3" t="s">
        <v>39</v>
      </c>
      <c r="C96" s="3" t="s">
        <v>19</v>
      </c>
      <c r="D96" t="s">
        <v>4</v>
      </c>
      <c r="E96">
        <v>184</v>
      </c>
      <c r="F96" t="s">
        <v>5</v>
      </c>
      <c r="G96" t="s">
        <v>6</v>
      </c>
      <c r="H96" t="s">
        <v>31</v>
      </c>
      <c r="I96" t="s">
        <v>31</v>
      </c>
      <c r="J96" s="7">
        <v>42067</v>
      </c>
      <c r="K96" s="7">
        <v>37841</v>
      </c>
      <c r="L96" s="7">
        <v>3110</v>
      </c>
      <c r="M96" s="7">
        <v>1116</v>
      </c>
      <c r="N96" s="7">
        <v>0</v>
      </c>
    </row>
    <row r="97" spans="1:14" x14ac:dyDescent="0.3">
      <c r="A97" s="4">
        <v>45350</v>
      </c>
      <c r="B97" s="3" t="s">
        <v>39</v>
      </c>
      <c r="C97" s="3" t="s">
        <v>18</v>
      </c>
      <c r="D97" t="s">
        <v>4</v>
      </c>
      <c r="E97">
        <v>274</v>
      </c>
      <c r="F97" t="s">
        <v>5</v>
      </c>
      <c r="G97" t="s">
        <v>6</v>
      </c>
      <c r="H97" t="s">
        <v>31</v>
      </c>
      <c r="I97" t="s">
        <v>31</v>
      </c>
      <c r="J97" s="7">
        <v>41793</v>
      </c>
      <c r="K97" s="7">
        <v>37841</v>
      </c>
      <c r="L97" s="7">
        <v>3110</v>
      </c>
      <c r="M97" s="7">
        <v>842</v>
      </c>
      <c r="N97" s="7">
        <v>0</v>
      </c>
    </row>
    <row r="98" spans="1:14" x14ac:dyDescent="0.3">
      <c r="A98" s="4">
        <v>45351</v>
      </c>
      <c r="B98" s="3" t="s">
        <v>39</v>
      </c>
      <c r="C98" s="3" t="s">
        <v>17</v>
      </c>
      <c r="D98" t="s">
        <v>4</v>
      </c>
      <c r="E98">
        <v>192</v>
      </c>
      <c r="F98" t="s">
        <v>5</v>
      </c>
      <c r="G98" t="s">
        <v>8</v>
      </c>
      <c r="H98" t="s">
        <v>31</v>
      </c>
      <c r="I98" t="s">
        <v>31</v>
      </c>
      <c r="J98" s="7">
        <v>41601</v>
      </c>
      <c r="K98" s="7">
        <v>37649</v>
      </c>
      <c r="L98" s="7">
        <v>3110</v>
      </c>
      <c r="M98" s="7">
        <v>842</v>
      </c>
      <c r="N98" s="7">
        <v>0</v>
      </c>
    </row>
    <row r="99" spans="1:14" x14ac:dyDescent="0.3">
      <c r="A99" s="4">
        <v>45351</v>
      </c>
      <c r="B99" s="3" t="s">
        <v>39</v>
      </c>
      <c r="C99" s="3" t="s">
        <v>17</v>
      </c>
      <c r="D99" t="s">
        <v>4</v>
      </c>
      <c r="E99">
        <v>60</v>
      </c>
      <c r="F99" t="s">
        <v>5</v>
      </c>
      <c r="G99" t="s">
        <v>6</v>
      </c>
      <c r="H99" t="s">
        <v>31</v>
      </c>
      <c r="I99" t="s">
        <v>31</v>
      </c>
      <c r="J99" s="7">
        <v>41541</v>
      </c>
      <c r="K99" s="7">
        <v>37649</v>
      </c>
      <c r="L99" s="7">
        <v>3110</v>
      </c>
      <c r="M99" s="7">
        <v>782</v>
      </c>
      <c r="N99" s="7">
        <v>0</v>
      </c>
    </row>
    <row r="100" spans="1:14" x14ac:dyDescent="0.3">
      <c r="A100" s="4">
        <v>45352</v>
      </c>
      <c r="B100" s="3" t="s">
        <v>24</v>
      </c>
      <c r="C100" s="3" t="s">
        <v>23</v>
      </c>
      <c r="D100" t="s">
        <v>4</v>
      </c>
      <c r="E100">
        <v>241</v>
      </c>
      <c r="F100" t="s">
        <v>5</v>
      </c>
      <c r="G100" t="s">
        <v>6</v>
      </c>
      <c r="H100" t="s">
        <v>31</v>
      </c>
      <c r="I100" t="s">
        <v>31</v>
      </c>
      <c r="J100" s="7">
        <v>41300</v>
      </c>
      <c r="K100" s="7">
        <v>37649</v>
      </c>
      <c r="L100" s="7">
        <v>3110</v>
      </c>
      <c r="M100" s="7">
        <v>541</v>
      </c>
      <c r="N100" s="7">
        <v>0</v>
      </c>
    </row>
    <row r="101" spans="1:14" x14ac:dyDescent="0.3">
      <c r="A101" s="4">
        <v>45353</v>
      </c>
      <c r="B101" s="3" t="s">
        <v>24</v>
      </c>
      <c r="C101" s="3" t="s">
        <v>22</v>
      </c>
      <c r="D101" t="s">
        <v>4</v>
      </c>
      <c r="E101">
        <v>160</v>
      </c>
      <c r="F101" t="s">
        <v>5</v>
      </c>
      <c r="G101" t="s">
        <v>6</v>
      </c>
      <c r="H101" t="s">
        <v>31</v>
      </c>
      <c r="I101" t="s">
        <v>31</v>
      </c>
      <c r="J101" s="7">
        <v>41140</v>
      </c>
      <c r="K101" s="7">
        <v>37649</v>
      </c>
      <c r="L101" s="7">
        <v>3110</v>
      </c>
      <c r="M101" s="7">
        <v>381</v>
      </c>
      <c r="N101" s="7">
        <v>0</v>
      </c>
    </row>
    <row r="102" spans="1:14" x14ac:dyDescent="0.3">
      <c r="A102" s="4">
        <v>45354</v>
      </c>
      <c r="B102" s="3" t="s">
        <v>24</v>
      </c>
      <c r="C102" s="3" t="s">
        <v>21</v>
      </c>
      <c r="D102" t="s">
        <v>15</v>
      </c>
      <c r="E102">
        <v>1099</v>
      </c>
      <c r="F102" t="s">
        <v>5</v>
      </c>
      <c r="G102" t="s">
        <v>8</v>
      </c>
      <c r="H102" t="s">
        <v>31</v>
      </c>
      <c r="I102" t="s">
        <v>44</v>
      </c>
      <c r="J102" s="7">
        <v>40041</v>
      </c>
      <c r="K102" s="7">
        <v>36550</v>
      </c>
      <c r="L102" s="7">
        <v>3110</v>
      </c>
      <c r="M102" s="7">
        <v>381</v>
      </c>
      <c r="N102" s="7">
        <v>0</v>
      </c>
    </row>
    <row r="103" spans="1:14" x14ac:dyDescent="0.3">
      <c r="A103" s="4">
        <v>45354</v>
      </c>
      <c r="B103" s="3" t="s">
        <v>24</v>
      </c>
      <c r="C103" s="3" t="s">
        <v>21</v>
      </c>
      <c r="D103" t="s">
        <v>4</v>
      </c>
      <c r="E103">
        <v>252</v>
      </c>
      <c r="F103" t="s">
        <v>5</v>
      </c>
      <c r="G103" t="s">
        <v>6</v>
      </c>
      <c r="H103" t="s">
        <v>31</v>
      </c>
      <c r="I103" t="s">
        <v>31</v>
      </c>
      <c r="J103" s="7">
        <v>39789</v>
      </c>
      <c r="K103" s="7">
        <v>36550</v>
      </c>
      <c r="L103" s="7">
        <v>3110</v>
      </c>
      <c r="M103" s="7">
        <v>129</v>
      </c>
      <c r="N103" s="7">
        <v>0</v>
      </c>
    </row>
    <row r="104" spans="1:14" x14ac:dyDescent="0.3">
      <c r="A104" s="4">
        <v>45354</v>
      </c>
      <c r="B104" s="3" t="s">
        <v>24</v>
      </c>
      <c r="C104" s="3" t="s">
        <v>21</v>
      </c>
      <c r="D104" t="s">
        <v>7</v>
      </c>
      <c r="E104">
        <v>1849</v>
      </c>
      <c r="F104" t="s">
        <v>7</v>
      </c>
      <c r="G104" t="s">
        <v>8</v>
      </c>
      <c r="H104" t="s">
        <v>6</v>
      </c>
      <c r="I104" t="s">
        <v>31</v>
      </c>
      <c r="J104" s="7">
        <v>39789</v>
      </c>
      <c r="K104" s="7">
        <v>34701</v>
      </c>
      <c r="L104" s="7">
        <v>3110</v>
      </c>
      <c r="M104" s="7">
        <v>1978</v>
      </c>
      <c r="N104" s="7">
        <v>0</v>
      </c>
    </row>
    <row r="105" spans="1:14" x14ac:dyDescent="0.3">
      <c r="A105" s="4">
        <v>45354</v>
      </c>
      <c r="B105" s="3" t="s">
        <v>24</v>
      </c>
      <c r="C105" s="3" t="s">
        <v>21</v>
      </c>
      <c r="D105" t="s">
        <v>9</v>
      </c>
      <c r="E105">
        <v>10</v>
      </c>
      <c r="F105" t="s">
        <v>5</v>
      </c>
      <c r="G105" t="s">
        <v>6</v>
      </c>
      <c r="H105" t="s">
        <v>31</v>
      </c>
      <c r="I105" t="s">
        <v>45</v>
      </c>
      <c r="J105" s="7">
        <v>39779</v>
      </c>
      <c r="K105" s="7">
        <v>34701</v>
      </c>
      <c r="L105" s="7">
        <v>3110</v>
      </c>
      <c r="M105" s="7">
        <v>1968</v>
      </c>
      <c r="N105" s="7">
        <v>0</v>
      </c>
    </row>
    <row r="106" spans="1:14" x14ac:dyDescent="0.3">
      <c r="A106" s="4">
        <v>45354</v>
      </c>
      <c r="B106" s="3" t="s">
        <v>24</v>
      </c>
      <c r="C106" s="3" t="s">
        <v>21</v>
      </c>
      <c r="D106" t="s">
        <v>10</v>
      </c>
      <c r="E106">
        <v>11</v>
      </c>
      <c r="F106" t="s">
        <v>11</v>
      </c>
      <c r="G106" t="s">
        <v>12</v>
      </c>
      <c r="H106" t="s">
        <v>31</v>
      </c>
      <c r="I106" t="s">
        <v>31</v>
      </c>
      <c r="J106" s="7">
        <v>39790</v>
      </c>
      <c r="K106" s="7">
        <v>34701</v>
      </c>
      <c r="L106" s="7">
        <v>3121</v>
      </c>
      <c r="M106" s="7">
        <v>1968</v>
      </c>
      <c r="N106" s="7">
        <v>0</v>
      </c>
    </row>
    <row r="107" spans="1:14" x14ac:dyDescent="0.3">
      <c r="A107" s="4">
        <v>45354</v>
      </c>
      <c r="B107" s="3" t="s">
        <v>24</v>
      </c>
      <c r="C107" s="3" t="s">
        <v>21</v>
      </c>
      <c r="D107" t="s">
        <v>16</v>
      </c>
      <c r="E107">
        <v>210</v>
      </c>
      <c r="F107" t="s">
        <v>5</v>
      </c>
      <c r="G107" t="s">
        <v>6</v>
      </c>
      <c r="H107" t="s">
        <v>31</v>
      </c>
      <c r="I107" t="s">
        <v>46</v>
      </c>
      <c r="J107" s="7">
        <v>39580</v>
      </c>
      <c r="K107" s="7">
        <v>34701</v>
      </c>
      <c r="L107" s="7">
        <v>3121</v>
      </c>
      <c r="M107" s="7">
        <v>1758</v>
      </c>
      <c r="N107" s="7">
        <v>0</v>
      </c>
    </row>
    <row r="108" spans="1:14" x14ac:dyDescent="0.3">
      <c r="A108" s="4">
        <v>45354</v>
      </c>
      <c r="B108" s="3" t="s">
        <v>24</v>
      </c>
      <c r="C108" s="3" t="s">
        <v>21</v>
      </c>
      <c r="D108" t="s">
        <v>7</v>
      </c>
      <c r="E108">
        <v>22500</v>
      </c>
      <c r="F108" t="s">
        <v>7</v>
      </c>
      <c r="G108" t="s">
        <v>8</v>
      </c>
      <c r="H108" t="s">
        <v>12</v>
      </c>
      <c r="I108" t="s">
        <v>31</v>
      </c>
      <c r="J108" s="7">
        <v>39580</v>
      </c>
      <c r="K108" s="7">
        <v>12201</v>
      </c>
      <c r="L108" s="7">
        <v>25621</v>
      </c>
      <c r="M108" s="7">
        <v>1758</v>
      </c>
      <c r="N108" s="7">
        <v>0</v>
      </c>
    </row>
    <row r="109" spans="1:14" x14ac:dyDescent="0.3">
      <c r="A109" s="4">
        <v>45355</v>
      </c>
      <c r="B109" s="3" t="s">
        <v>24</v>
      </c>
      <c r="C109" s="3" t="s">
        <v>20</v>
      </c>
      <c r="D109" t="s">
        <v>4</v>
      </c>
      <c r="E109">
        <v>174</v>
      </c>
      <c r="F109" t="s">
        <v>5</v>
      </c>
      <c r="G109" t="s">
        <v>6</v>
      </c>
      <c r="H109" t="s">
        <v>31</v>
      </c>
      <c r="I109" t="s">
        <v>31</v>
      </c>
      <c r="J109" s="7">
        <v>39406</v>
      </c>
      <c r="K109" s="7">
        <v>12201</v>
      </c>
      <c r="L109" s="7">
        <v>25621</v>
      </c>
      <c r="M109" s="7">
        <v>1584</v>
      </c>
      <c r="N109" s="7">
        <v>0</v>
      </c>
    </row>
    <row r="110" spans="1:14" x14ac:dyDescent="0.3">
      <c r="A110" s="4">
        <v>45356</v>
      </c>
      <c r="B110" s="3" t="s">
        <v>24</v>
      </c>
      <c r="C110" s="3" t="s">
        <v>19</v>
      </c>
      <c r="D110" t="s">
        <v>15</v>
      </c>
      <c r="E110">
        <v>20</v>
      </c>
      <c r="F110" t="s">
        <v>5</v>
      </c>
      <c r="G110" t="s">
        <v>6</v>
      </c>
      <c r="H110" t="s">
        <v>31</v>
      </c>
      <c r="I110" t="s">
        <v>47</v>
      </c>
      <c r="J110" s="7">
        <v>39386</v>
      </c>
      <c r="K110" s="7">
        <v>12201</v>
      </c>
      <c r="L110" s="7">
        <v>25621</v>
      </c>
      <c r="M110" s="7">
        <v>1564</v>
      </c>
      <c r="N110" s="7">
        <v>0</v>
      </c>
    </row>
    <row r="111" spans="1:14" x14ac:dyDescent="0.3">
      <c r="A111" s="4">
        <v>45356</v>
      </c>
      <c r="B111" s="3" t="s">
        <v>24</v>
      </c>
      <c r="C111" s="3" t="s">
        <v>19</v>
      </c>
      <c r="D111" t="s">
        <v>4</v>
      </c>
      <c r="E111">
        <v>200</v>
      </c>
      <c r="F111" t="s">
        <v>5</v>
      </c>
      <c r="G111" t="s">
        <v>6</v>
      </c>
      <c r="H111" t="s">
        <v>31</v>
      </c>
      <c r="I111" t="s">
        <v>31</v>
      </c>
      <c r="J111" s="7">
        <v>39186</v>
      </c>
      <c r="K111" s="7">
        <v>12201</v>
      </c>
      <c r="L111" s="7">
        <v>25621</v>
      </c>
      <c r="M111" s="7">
        <v>1364</v>
      </c>
      <c r="N111" s="7">
        <v>0</v>
      </c>
    </row>
    <row r="112" spans="1:14" x14ac:dyDescent="0.3">
      <c r="A112" s="4">
        <v>45356</v>
      </c>
      <c r="B112" s="3" t="s">
        <v>24</v>
      </c>
      <c r="C112" s="3" t="s">
        <v>19</v>
      </c>
      <c r="D112" t="s">
        <v>9</v>
      </c>
      <c r="E112">
        <v>340</v>
      </c>
      <c r="F112" t="s">
        <v>5</v>
      </c>
      <c r="G112" t="s">
        <v>6</v>
      </c>
      <c r="H112" t="s">
        <v>31</v>
      </c>
      <c r="I112" t="s">
        <v>48</v>
      </c>
      <c r="J112" s="7">
        <v>38846</v>
      </c>
      <c r="K112" s="7">
        <v>12201</v>
      </c>
      <c r="L112" s="7">
        <v>25621</v>
      </c>
      <c r="M112" s="7">
        <v>1024</v>
      </c>
      <c r="N112" s="7">
        <v>0</v>
      </c>
    </row>
    <row r="113" spans="1:14" x14ac:dyDescent="0.3">
      <c r="A113" s="4">
        <v>45357</v>
      </c>
      <c r="B113" s="3" t="s">
        <v>24</v>
      </c>
      <c r="C113" s="3" t="s">
        <v>18</v>
      </c>
      <c r="D113" t="s">
        <v>4</v>
      </c>
      <c r="E113">
        <v>130</v>
      </c>
      <c r="F113" t="s">
        <v>5</v>
      </c>
      <c r="G113" t="s">
        <v>6</v>
      </c>
      <c r="H113" t="s">
        <v>31</v>
      </c>
      <c r="I113" t="s">
        <v>31</v>
      </c>
      <c r="J113" s="7">
        <v>38716</v>
      </c>
      <c r="K113" s="7">
        <v>12201</v>
      </c>
      <c r="L113" s="7">
        <v>25621</v>
      </c>
      <c r="M113" s="7">
        <v>894</v>
      </c>
      <c r="N113" s="7">
        <v>0</v>
      </c>
    </row>
    <row r="114" spans="1:14" x14ac:dyDescent="0.3">
      <c r="A114" s="4">
        <v>45358</v>
      </c>
      <c r="B114" s="3" t="s">
        <v>24</v>
      </c>
      <c r="C114" s="3" t="s">
        <v>17</v>
      </c>
      <c r="D114" t="s">
        <v>4</v>
      </c>
      <c r="E114">
        <v>90</v>
      </c>
      <c r="F114" t="s">
        <v>5</v>
      </c>
      <c r="G114" t="s">
        <v>6</v>
      </c>
      <c r="H114" t="s">
        <v>31</v>
      </c>
      <c r="I114" t="s">
        <v>31</v>
      </c>
      <c r="J114" s="7">
        <v>38626</v>
      </c>
      <c r="K114" s="7">
        <v>12201</v>
      </c>
      <c r="L114" s="7">
        <v>25621</v>
      </c>
      <c r="M114" s="7">
        <v>804</v>
      </c>
      <c r="N114" s="7">
        <v>0</v>
      </c>
    </row>
    <row r="115" spans="1:14" x14ac:dyDescent="0.3">
      <c r="A115" s="4">
        <v>45359</v>
      </c>
      <c r="B115" s="3" t="s">
        <v>24</v>
      </c>
      <c r="C115" s="3" t="s">
        <v>23</v>
      </c>
      <c r="D115" t="s">
        <v>4</v>
      </c>
      <c r="E115">
        <v>474</v>
      </c>
      <c r="F115" t="s">
        <v>5</v>
      </c>
      <c r="G115" t="s">
        <v>6</v>
      </c>
      <c r="H115" t="s">
        <v>31</v>
      </c>
      <c r="I115" t="s">
        <v>31</v>
      </c>
      <c r="J115" s="7">
        <v>38152</v>
      </c>
      <c r="K115" s="7">
        <v>12201</v>
      </c>
      <c r="L115" s="7">
        <v>25621</v>
      </c>
      <c r="M115" s="7">
        <v>330</v>
      </c>
      <c r="N115" s="7">
        <v>0</v>
      </c>
    </row>
    <row r="116" spans="1:14" x14ac:dyDescent="0.3">
      <c r="A116" s="4">
        <v>45359</v>
      </c>
      <c r="B116" s="3" t="s">
        <v>24</v>
      </c>
      <c r="C116" s="3" t="s">
        <v>23</v>
      </c>
      <c r="D116" t="s">
        <v>14</v>
      </c>
      <c r="E116">
        <v>3500</v>
      </c>
      <c r="F116" t="s">
        <v>5</v>
      </c>
      <c r="G116" t="s">
        <v>8</v>
      </c>
      <c r="H116" t="s">
        <v>31</v>
      </c>
      <c r="I116" t="s">
        <v>31</v>
      </c>
      <c r="J116" s="7">
        <v>34652</v>
      </c>
      <c r="K116" s="7">
        <v>8701</v>
      </c>
      <c r="L116" s="7">
        <v>25621</v>
      </c>
      <c r="M116" s="7">
        <v>330</v>
      </c>
      <c r="N116" s="7">
        <v>0</v>
      </c>
    </row>
    <row r="117" spans="1:14" x14ac:dyDescent="0.3">
      <c r="A117" s="4">
        <v>45360</v>
      </c>
      <c r="B117" s="3" t="s">
        <v>24</v>
      </c>
      <c r="C117" s="3" t="s">
        <v>22</v>
      </c>
      <c r="D117" t="s">
        <v>4</v>
      </c>
      <c r="E117">
        <v>170</v>
      </c>
      <c r="F117" t="s">
        <v>5</v>
      </c>
      <c r="G117" t="s">
        <v>6</v>
      </c>
      <c r="H117" t="s">
        <v>31</v>
      </c>
      <c r="I117" t="s">
        <v>31</v>
      </c>
      <c r="J117" s="7">
        <v>34482</v>
      </c>
      <c r="K117" s="7">
        <v>8701</v>
      </c>
      <c r="L117" s="7">
        <v>25621</v>
      </c>
      <c r="M117" s="7">
        <v>160</v>
      </c>
      <c r="N117" s="7">
        <v>0</v>
      </c>
    </row>
    <row r="118" spans="1:14" x14ac:dyDescent="0.3">
      <c r="A118" s="4">
        <v>45361</v>
      </c>
      <c r="B118" s="3" t="s">
        <v>24</v>
      </c>
      <c r="C118" s="3" t="s">
        <v>21</v>
      </c>
      <c r="D118" t="s">
        <v>4</v>
      </c>
      <c r="E118">
        <v>194</v>
      </c>
      <c r="F118" t="s">
        <v>5</v>
      </c>
      <c r="G118" t="s">
        <v>6</v>
      </c>
      <c r="H118" t="s">
        <v>31</v>
      </c>
      <c r="I118" t="s">
        <v>31</v>
      </c>
      <c r="J118" s="7">
        <v>34288</v>
      </c>
      <c r="K118" s="7">
        <v>8701</v>
      </c>
      <c r="L118" s="7">
        <v>25621</v>
      </c>
      <c r="M118" s="7">
        <v>-34</v>
      </c>
      <c r="N118" s="7">
        <v>0</v>
      </c>
    </row>
    <row r="119" spans="1:14" x14ac:dyDescent="0.3">
      <c r="A119" s="4">
        <v>45361</v>
      </c>
      <c r="B119" s="3" t="s">
        <v>24</v>
      </c>
      <c r="C119" s="3" t="s">
        <v>21</v>
      </c>
      <c r="D119" t="s">
        <v>7</v>
      </c>
      <c r="E119">
        <v>1960</v>
      </c>
      <c r="F119" t="s">
        <v>7</v>
      </c>
      <c r="G119" t="s">
        <v>8</v>
      </c>
      <c r="H119" t="s">
        <v>6</v>
      </c>
      <c r="I119" t="s">
        <v>31</v>
      </c>
      <c r="J119" s="7">
        <v>34288</v>
      </c>
      <c r="K119" s="7">
        <v>6741</v>
      </c>
      <c r="L119" s="7">
        <v>25621</v>
      </c>
      <c r="M119" s="7">
        <v>1926</v>
      </c>
      <c r="N119" s="7">
        <v>0</v>
      </c>
    </row>
    <row r="120" spans="1:14" x14ac:dyDescent="0.3">
      <c r="A120" s="4">
        <v>45362</v>
      </c>
      <c r="B120" s="3" t="s">
        <v>24</v>
      </c>
      <c r="C120" s="3" t="s">
        <v>20</v>
      </c>
      <c r="D120" t="s">
        <v>4</v>
      </c>
      <c r="E120">
        <v>163</v>
      </c>
      <c r="F120" t="s">
        <v>5</v>
      </c>
      <c r="G120" t="s">
        <v>6</v>
      </c>
      <c r="H120" t="s">
        <v>31</v>
      </c>
      <c r="I120" t="s">
        <v>31</v>
      </c>
      <c r="J120" s="7">
        <v>34125</v>
      </c>
      <c r="K120" s="7">
        <v>6741</v>
      </c>
      <c r="L120" s="7">
        <v>25621</v>
      </c>
      <c r="M120" s="7">
        <v>1763</v>
      </c>
      <c r="N120" s="7">
        <v>0</v>
      </c>
    </row>
    <row r="121" spans="1:14" x14ac:dyDescent="0.3">
      <c r="A121" s="4">
        <v>45363</v>
      </c>
      <c r="B121" s="3" t="s">
        <v>24</v>
      </c>
      <c r="C121" s="3" t="s">
        <v>19</v>
      </c>
      <c r="D121" t="s">
        <v>4</v>
      </c>
      <c r="E121">
        <v>140</v>
      </c>
      <c r="F121" t="s">
        <v>5</v>
      </c>
      <c r="G121" t="s">
        <v>6</v>
      </c>
      <c r="H121" t="s">
        <v>31</v>
      </c>
      <c r="I121" t="s">
        <v>31</v>
      </c>
      <c r="J121" s="7">
        <v>33985</v>
      </c>
      <c r="K121" s="7">
        <v>6741</v>
      </c>
      <c r="L121" s="7">
        <v>25621</v>
      </c>
      <c r="M121" s="7">
        <v>1623</v>
      </c>
      <c r="N121" s="7">
        <v>0</v>
      </c>
    </row>
    <row r="122" spans="1:14" x14ac:dyDescent="0.3">
      <c r="A122" s="4">
        <v>45363</v>
      </c>
      <c r="B122" s="3" t="s">
        <v>24</v>
      </c>
      <c r="C122" s="3" t="s">
        <v>19</v>
      </c>
      <c r="D122" t="s">
        <v>13</v>
      </c>
      <c r="E122">
        <v>1201</v>
      </c>
      <c r="F122" t="s">
        <v>5</v>
      </c>
      <c r="G122" t="s">
        <v>12</v>
      </c>
      <c r="H122" t="s">
        <v>31</v>
      </c>
      <c r="I122" t="s">
        <v>31</v>
      </c>
      <c r="J122" s="7">
        <v>32784</v>
      </c>
      <c r="K122" s="7">
        <v>6741</v>
      </c>
      <c r="L122" s="7">
        <v>24420</v>
      </c>
      <c r="M122" s="7">
        <v>1623</v>
      </c>
      <c r="N122" s="7">
        <v>0</v>
      </c>
    </row>
    <row r="123" spans="1:14" x14ac:dyDescent="0.3">
      <c r="A123" s="4">
        <v>45364</v>
      </c>
      <c r="B123" s="3" t="s">
        <v>24</v>
      </c>
      <c r="C123" s="3" t="s">
        <v>18</v>
      </c>
      <c r="D123" t="s">
        <v>9</v>
      </c>
      <c r="E123">
        <v>50</v>
      </c>
      <c r="F123" t="s">
        <v>5</v>
      </c>
      <c r="G123" t="s">
        <v>6</v>
      </c>
      <c r="H123" t="s">
        <v>31</v>
      </c>
      <c r="I123" t="s">
        <v>49</v>
      </c>
      <c r="J123" s="7">
        <v>32734</v>
      </c>
      <c r="K123" s="7">
        <v>6741</v>
      </c>
      <c r="L123" s="7">
        <v>24420</v>
      </c>
      <c r="M123" s="7">
        <v>1573</v>
      </c>
      <c r="N123" s="7">
        <v>0</v>
      </c>
    </row>
    <row r="124" spans="1:14" x14ac:dyDescent="0.3">
      <c r="A124" s="4">
        <v>45364</v>
      </c>
      <c r="B124" s="3" t="s">
        <v>24</v>
      </c>
      <c r="C124" s="3" t="s">
        <v>18</v>
      </c>
      <c r="D124" t="s">
        <v>4</v>
      </c>
      <c r="E124">
        <v>134</v>
      </c>
      <c r="F124" t="s">
        <v>5</v>
      </c>
      <c r="G124" t="s">
        <v>6</v>
      </c>
      <c r="H124" t="s">
        <v>31</v>
      </c>
      <c r="I124" t="s">
        <v>31</v>
      </c>
      <c r="J124" s="7">
        <v>32600</v>
      </c>
      <c r="K124" s="7">
        <v>6741</v>
      </c>
      <c r="L124" s="7">
        <v>24420</v>
      </c>
      <c r="M124" s="7">
        <v>1439</v>
      </c>
      <c r="N124" s="7">
        <v>0</v>
      </c>
    </row>
    <row r="125" spans="1:14" x14ac:dyDescent="0.3">
      <c r="A125" s="4">
        <v>45365</v>
      </c>
      <c r="B125" s="3" t="s">
        <v>24</v>
      </c>
      <c r="C125" s="3" t="s">
        <v>17</v>
      </c>
      <c r="D125" t="s">
        <v>7</v>
      </c>
      <c r="E125">
        <v>82</v>
      </c>
      <c r="F125" t="s">
        <v>7</v>
      </c>
      <c r="G125" t="s">
        <v>6</v>
      </c>
      <c r="H125" t="s">
        <v>12</v>
      </c>
      <c r="I125" t="s">
        <v>31</v>
      </c>
      <c r="J125" s="7">
        <v>32600</v>
      </c>
      <c r="K125" s="7">
        <v>6741</v>
      </c>
      <c r="L125" s="7">
        <v>24502</v>
      </c>
      <c r="M125" s="7">
        <v>1357</v>
      </c>
      <c r="N125" s="7">
        <v>0</v>
      </c>
    </row>
    <row r="126" spans="1:14" x14ac:dyDescent="0.3">
      <c r="A126" s="4">
        <v>45365</v>
      </c>
      <c r="B126" s="3" t="s">
        <v>24</v>
      </c>
      <c r="C126" s="3" t="s">
        <v>17</v>
      </c>
      <c r="D126" t="s">
        <v>4</v>
      </c>
      <c r="E126">
        <v>110</v>
      </c>
      <c r="F126" t="s">
        <v>5</v>
      </c>
      <c r="G126" t="s">
        <v>6</v>
      </c>
      <c r="H126" t="s">
        <v>31</v>
      </c>
      <c r="I126" t="s">
        <v>31</v>
      </c>
      <c r="J126" s="7">
        <v>32490</v>
      </c>
      <c r="K126" s="7">
        <v>6741</v>
      </c>
      <c r="L126" s="7">
        <v>24502</v>
      </c>
      <c r="M126" s="7">
        <v>1247</v>
      </c>
      <c r="N126" s="7">
        <v>0</v>
      </c>
    </row>
    <row r="127" spans="1:14" x14ac:dyDescent="0.3">
      <c r="A127" s="4">
        <v>45366</v>
      </c>
      <c r="B127" s="3" t="s">
        <v>24</v>
      </c>
      <c r="C127" s="3" t="s">
        <v>23</v>
      </c>
      <c r="D127" t="s">
        <v>4</v>
      </c>
      <c r="E127">
        <v>220</v>
      </c>
      <c r="F127" t="s">
        <v>5</v>
      </c>
      <c r="G127" t="s">
        <v>6</v>
      </c>
      <c r="H127" t="s">
        <v>31</v>
      </c>
      <c r="I127" t="s">
        <v>31</v>
      </c>
      <c r="J127" s="7">
        <v>32270</v>
      </c>
      <c r="K127" s="7">
        <v>6741</v>
      </c>
      <c r="L127" s="7">
        <v>24502</v>
      </c>
      <c r="M127" s="7">
        <v>1027</v>
      </c>
      <c r="N127" s="7">
        <v>0</v>
      </c>
    </row>
    <row r="128" spans="1:14" x14ac:dyDescent="0.3">
      <c r="A128" s="4">
        <v>45367</v>
      </c>
      <c r="B128" s="3" t="s">
        <v>24</v>
      </c>
      <c r="C128" s="3" t="s">
        <v>22</v>
      </c>
      <c r="D128" t="s">
        <v>4</v>
      </c>
      <c r="E128">
        <v>104</v>
      </c>
      <c r="F128" t="s">
        <v>5</v>
      </c>
      <c r="G128" t="s">
        <v>6</v>
      </c>
      <c r="H128" t="s">
        <v>31</v>
      </c>
      <c r="I128" t="s">
        <v>31</v>
      </c>
      <c r="J128" s="7">
        <v>32166</v>
      </c>
      <c r="K128" s="7">
        <v>6741</v>
      </c>
      <c r="L128" s="7">
        <v>24502</v>
      </c>
      <c r="M128" s="7">
        <v>923</v>
      </c>
      <c r="N128" s="7">
        <v>0</v>
      </c>
    </row>
    <row r="129" spans="1:14" x14ac:dyDescent="0.3">
      <c r="A129" s="4">
        <v>45368</v>
      </c>
      <c r="B129" s="3" t="s">
        <v>24</v>
      </c>
      <c r="C129" s="3" t="s">
        <v>21</v>
      </c>
      <c r="D129" t="s">
        <v>4</v>
      </c>
      <c r="E129">
        <v>290</v>
      </c>
      <c r="F129" t="s">
        <v>5</v>
      </c>
      <c r="G129" t="s">
        <v>6</v>
      </c>
      <c r="H129" t="s">
        <v>31</v>
      </c>
      <c r="I129" t="s">
        <v>31</v>
      </c>
      <c r="J129" s="7">
        <v>31876</v>
      </c>
      <c r="K129" s="7">
        <v>6741</v>
      </c>
      <c r="L129" s="7">
        <v>24502</v>
      </c>
      <c r="M129" s="7">
        <v>633</v>
      </c>
      <c r="N129" s="7">
        <v>0</v>
      </c>
    </row>
    <row r="130" spans="1:14" x14ac:dyDescent="0.3">
      <c r="A130" s="4">
        <v>45369</v>
      </c>
      <c r="B130" s="3" t="s">
        <v>24</v>
      </c>
      <c r="C130" s="3" t="s">
        <v>20</v>
      </c>
      <c r="D130" t="s">
        <v>4</v>
      </c>
      <c r="E130">
        <v>190</v>
      </c>
      <c r="F130" t="s">
        <v>5</v>
      </c>
      <c r="G130" t="s">
        <v>6</v>
      </c>
      <c r="H130" t="s">
        <v>31</v>
      </c>
      <c r="I130" t="s">
        <v>31</v>
      </c>
      <c r="J130" s="7">
        <v>31686</v>
      </c>
      <c r="K130" s="7">
        <v>6741</v>
      </c>
      <c r="L130" s="7">
        <v>24502</v>
      </c>
      <c r="M130" s="7">
        <v>443</v>
      </c>
      <c r="N130" s="7">
        <v>0</v>
      </c>
    </row>
    <row r="131" spans="1:14" x14ac:dyDescent="0.3">
      <c r="A131" s="4">
        <v>45370</v>
      </c>
      <c r="B131" s="3" t="s">
        <v>24</v>
      </c>
      <c r="C131" s="3" t="s">
        <v>19</v>
      </c>
      <c r="D131" t="s">
        <v>4</v>
      </c>
      <c r="E131">
        <v>220</v>
      </c>
      <c r="F131" t="s">
        <v>5</v>
      </c>
      <c r="G131" t="s">
        <v>6</v>
      </c>
      <c r="H131" t="s">
        <v>31</v>
      </c>
      <c r="I131" t="s">
        <v>31</v>
      </c>
      <c r="J131" s="7">
        <v>31466</v>
      </c>
      <c r="K131" s="7">
        <v>6741</v>
      </c>
      <c r="L131" s="7">
        <v>24502</v>
      </c>
      <c r="M131" s="7">
        <v>223</v>
      </c>
      <c r="N131" s="7">
        <v>0</v>
      </c>
    </row>
    <row r="132" spans="1:14" x14ac:dyDescent="0.3">
      <c r="A132" s="4">
        <v>45370</v>
      </c>
      <c r="B132" s="3" t="s">
        <v>24</v>
      </c>
      <c r="C132" s="3" t="s">
        <v>19</v>
      </c>
      <c r="D132" t="s">
        <v>10</v>
      </c>
      <c r="E132">
        <v>10</v>
      </c>
      <c r="F132" t="s">
        <v>11</v>
      </c>
      <c r="G132" t="s">
        <v>12</v>
      </c>
      <c r="H132" t="s">
        <v>31</v>
      </c>
      <c r="I132" t="s">
        <v>50</v>
      </c>
      <c r="J132" s="7">
        <v>31476</v>
      </c>
      <c r="K132" s="7">
        <v>6741</v>
      </c>
      <c r="L132" s="7">
        <v>24512</v>
      </c>
      <c r="M132" s="7">
        <v>223</v>
      </c>
      <c r="N132" s="7">
        <v>0</v>
      </c>
    </row>
    <row r="133" spans="1:14" x14ac:dyDescent="0.3">
      <c r="A133" s="4">
        <v>45371</v>
      </c>
      <c r="B133" s="3" t="s">
        <v>24</v>
      </c>
      <c r="C133" s="3" t="s">
        <v>18</v>
      </c>
      <c r="D133" t="s">
        <v>4</v>
      </c>
      <c r="E133">
        <v>160</v>
      </c>
      <c r="F133" t="s">
        <v>5</v>
      </c>
      <c r="G133" t="s">
        <v>6</v>
      </c>
      <c r="H133" t="s">
        <v>31</v>
      </c>
      <c r="I133" t="s">
        <v>31</v>
      </c>
      <c r="J133" s="7">
        <v>31316</v>
      </c>
      <c r="K133" s="7">
        <v>6741</v>
      </c>
      <c r="L133" s="7">
        <v>24512</v>
      </c>
      <c r="M133" s="7">
        <v>63</v>
      </c>
      <c r="N133" s="7">
        <v>0</v>
      </c>
    </row>
    <row r="134" spans="1:14" x14ac:dyDescent="0.3">
      <c r="A134" s="4">
        <v>45371</v>
      </c>
      <c r="B134" s="3" t="s">
        <v>24</v>
      </c>
      <c r="C134" s="3" t="s">
        <v>18</v>
      </c>
      <c r="D134" t="s">
        <v>9</v>
      </c>
      <c r="E134">
        <v>30</v>
      </c>
      <c r="F134" t="s">
        <v>5</v>
      </c>
      <c r="G134" t="s">
        <v>6</v>
      </c>
      <c r="H134" t="s">
        <v>31</v>
      </c>
      <c r="I134" t="s">
        <v>51</v>
      </c>
      <c r="J134" s="7">
        <v>31286</v>
      </c>
      <c r="K134" s="7">
        <v>6741</v>
      </c>
      <c r="L134" s="7">
        <v>24512</v>
      </c>
      <c r="M134" s="7">
        <v>33</v>
      </c>
      <c r="N134" s="7">
        <v>0</v>
      </c>
    </row>
    <row r="135" spans="1:14" x14ac:dyDescent="0.3">
      <c r="A135" s="4">
        <v>45372</v>
      </c>
      <c r="B135" s="3" t="s">
        <v>24</v>
      </c>
      <c r="C135" s="3" t="s">
        <v>17</v>
      </c>
      <c r="D135" t="s">
        <v>7</v>
      </c>
      <c r="E135">
        <v>1967</v>
      </c>
      <c r="F135" t="s">
        <v>7</v>
      </c>
      <c r="G135" t="s">
        <v>8</v>
      </c>
      <c r="H135" t="s">
        <v>6</v>
      </c>
      <c r="I135" t="s">
        <v>31</v>
      </c>
      <c r="J135" s="7">
        <v>31286</v>
      </c>
      <c r="K135" s="7">
        <v>4774</v>
      </c>
      <c r="L135" s="7">
        <v>24512</v>
      </c>
      <c r="M135" s="7">
        <v>2000</v>
      </c>
      <c r="N135" s="7">
        <v>0</v>
      </c>
    </row>
    <row r="136" spans="1:14" x14ac:dyDescent="0.3">
      <c r="A136" s="4">
        <v>45372</v>
      </c>
      <c r="B136" s="3" t="s">
        <v>24</v>
      </c>
      <c r="C136" s="3" t="s">
        <v>17</v>
      </c>
      <c r="D136" t="s">
        <v>4</v>
      </c>
      <c r="E136">
        <v>524</v>
      </c>
      <c r="F136" t="s">
        <v>5</v>
      </c>
      <c r="G136" t="s">
        <v>6</v>
      </c>
      <c r="H136" t="s">
        <v>31</v>
      </c>
      <c r="I136" t="s">
        <v>52</v>
      </c>
      <c r="J136" s="7">
        <v>30762</v>
      </c>
      <c r="K136" s="7">
        <v>4774</v>
      </c>
      <c r="L136" s="7">
        <v>24512</v>
      </c>
      <c r="M136" s="7">
        <v>1476</v>
      </c>
      <c r="N136" s="7">
        <v>0</v>
      </c>
    </row>
  </sheetData>
  <conditionalFormatting sqref="F1:F136">
    <cfRule type="cellIs" dxfId="2" priority="1" operator="equal">
      <formula>"Transfer"</formula>
    </cfRule>
    <cfRule type="cellIs" dxfId="1" priority="2" operator="equal">
      <formula>"Income"</formula>
    </cfRule>
    <cfRule type="cellIs" dxfId="0" priority="3" operator="equal">
      <formula>"Expense"</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Report</vt:lpstr>
      <vt:lpstr>Pivots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Ojas Hasija</dc:creator>
  <cp:lastModifiedBy>Ojas Hasija</cp:lastModifiedBy>
  <dcterms:created xsi:type="dcterms:W3CDTF">2015-06-05T18:17:20Z</dcterms:created>
  <dcterms:modified xsi:type="dcterms:W3CDTF">2024-03-25T13:44:38Z</dcterms:modified>
</cp:coreProperties>
</file>